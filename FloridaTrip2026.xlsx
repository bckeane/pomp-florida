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Documents/"/>
    </mc:Choice>
  </mc:AlternateContent>
  <xr:revisionPtr revIDLastSave="0" documentId="13_ncr:1_{76CE96DB-41EB-B54D-ADB8-C265F3763B50}" xr6:coauthVersionLast="47" xr6:coauthVersionMax="47" xr10:uidLastSave="{00000000-0000-0000-0000-000000000000}"/>
  <bookViews>
    <workbookView xWindow="0" yWindow="620" windowWidth="33600" windowHeight="20380" xr2:uid="{77CE5899-6FEC-AC40-AF72-9A6A67CA9C33}"/>
  </bookViews>
  <sheets>
    <sheet name="Overview" sheetId="3" r:id="rId1"/>
    <sheet name="2026" sheetId="1" r:id="rId2"/>
    <sheet name="Budget" sheetId="2" r:id="rId3"/>
    <sheet name="Carpool" sheetId="4" r:id="rId4"/>
    <sheet name="Airline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 a="1"/>
  <c r="B1" i="5" s="1"/>
  <c r="A1" i="5" a="1"/>
  <c r="A1" i="5" s="1"/>
  <c r="P21" i="2"/>
  <c r="Q10" i="2"/>
  <c r="G7" i="2"/>
  <c r="D27" i="3"/>
  <c r="B9" i="3"/>
  <c r="G5" i="2"/>
  <c r="G6" i="2"/>
  <c r="G8" i="2"/>
  <c r="E6" i="2"/>
  <c r="B6" i="3"/>
  <c r="F9" i="2"/>
  <c r="N12" i="2"/>
  <c r="G38" i="2" l="1"/>
  <c r="E4" i="2"/>
  <c r="F4" i="2" s="1"/>
  <c r="B32" i="1"/>
  <c r="F32" i="1" a="1"/>
  <c r="F32" i="1" s="1"/>
  <c r="H32" i="1"/>
  <c r="D31" i="2"/>
  <c r="D30" i="2"/>
  <c r="D29" i="2"/>
  <c r="A35" i="1"/>
  <c r="B22" i="1"/>
  <c r="F22" i="1" a="1"/>
  <c r="F22" i="1" s="1"/>
  <c r="H22" i="1"/>
  <c r="J25" i="2"/>
  <c r="P10" i="2"/>
  <c r="P24" i="2" s="1"/>
  <c r="E14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3" i="1"/>
  <c r="H24" i="1"/>
  <c r="H25" i="1"/>
  <c r="H26" i="1"/>
  <c r="H27" i="1"/>
  <c r="H28" i="1"/>
  <c r="H29" i="1"/>
  <c r="H30" i="1"/>
  <c r="H31" i="1"/>
  <c r="H34" i="1"/>
  <c r="H33" i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4" i="1" a="1"/>
  <c r="F34" i="1" s="1"/>
  <c r="F33" i="1" a="1"/>
  <c r="F33" i="1" s="1"/>
  <c r="B33" i="1"/>
  <c r="B31" i="1"/>
  <c r="B34" i="1"/>
  <c r="B14" i="1"/>
  <c r="B26" i="1"/>
  <c r="B12" i="1"/>
  <c r="B27" i="1"/>
  <c r="M35" i="1"/>
  <c r="G35" i="1"/>
  <c r="L5" i="2"/>
  <c r="F10" i="2"/>
  <c r="F7" i="2"/>
  <c r="F6" i="2"/>
  <c r="B29" i="1"/>
  <c r="B17" i="1"/>
  <c r="B21" i="1"/>
  <c r="B6" i="1"/>
  <c r="M36" i="1" l="1"/>
  <c r="M37" i="1"/>
  <c r="G9" i="2"/>
  <c r="H9" i="2" s="1"/>
  <c r="D21" i="3"/>
  <c r="D32" i="2"/>
  <c r="D33" i="2" s="1"/>
  <c r="E33" i="2"/>
  <c r="P12" i="2"/>
  <c r="J35" i="1"/>
  <c r="B16" i="3" s="1"/>
  <c r="B7" i="1"/>
  <c r="B25" i="1"/>
  <c r="B5" i="1"/>
  <c r="B23" i="1"/>
  <c r="B11" i="1"/>
  <c r="B13" i="1"/>
  <c r="B10" i="1"/>
  <c r="B4" i="1"/>
  <c r="B16" i="1"/>
  <c r="B8" i="1"/>
  <c r="B15" i="1"/>
  <c r="B18" i="1"/>
  <c r="B2" i="1"/>
  <c r="B3" i="1"/>
  <c r="B9" i="1"/>
  <c r="B19" i="1"/>
  <c r="B30" i="1"/>
  <c r="B20" i="1"/>
  <c r="B24" i="1"/>
  <c r="B28" i="1"/>
  <c r="H4" i="2" l="1"/>
  <c r="E8" i="2"/>
  <c r="B10" i="3" s="1"/>
  <c r="C10" i="3" s="1"/>
  <c r="H7" i="2"/>
  <c r="H6" i="2"/>
  <c r="G10" i="2"/>
  <c r="H10" i="2" s="1"/>
  <c r="B17" i="3"/>
  <c r="C17" i="3" s="1"/>
  <c r="D21" i="2"/>
  <c r="I37" i="1"/>
  <c r="I36" i="1"/>
  <c r="C9" i="3"/>
  <c r="C8" i="3"/>
  <c r="B11" i="3"/>
  <c r="C11" i="3" s="1"/>
  <c r="C6" i="3"/>
  <c r="E5" i="2"/>
  <c r="B7" i="3" s="1"/>
  <c r="C7" i="3" s="1"/>
  <c r="D34" i="2"/>
  <c r="D35" i="2" s="1"/>
  <c r="B35" i="1"/>
  <c r="F8" i="2" l="1"/>
  <c r="E12" i="2"/>
  <c r="H8" i="2"/>
  <c r="B12" i="3"/>
  <c r="F21" i="2"/>
  <c r="F22" i="2" s="1"/>
  <c r="F23" i="2" s="1"/>
  <c r="C16" i="3"/>
  <c r="B18" i="3"/>
  <c r="C18" i="3" s="1"/>
  <c r="F5" i="2"/>
  <c r="H5" i="2"/>
  <c r="D36" i="2"/>
  <c r="F36" i="1"/>
  <c r="K36" i="1"/>
  <c r="C12" i="3" l="1"/>
  <c r="B19" i="3" s="1"/>
  <c r="E27" i="3"/>
  <c r="D26" i="3"/>
  <c r="D28" i="3" s="1"/>
  <c r="E28" i="3" s="1"/>
  <c r="H12" i="2"/>
  <c r="H13" i="2" s="1"/>
  <c r="I24" i="2" l="1"/>
  <c r="K24" i="2" s="1"/>
  <c r="I13" i="2"/>
  <c r="J13" i="2" s="1"/>
  <c r="B20" i="3"/>
  <c r="E21" i="3"/>
  <c r="H14" i="2"/>
  <c r="C22" i="2" s="1"/>
  <c r="D22" i="2" s="1"/>
  <c r="C20" i="3" l="1"/>
  <c r="B21" i="3"/>
  <c r="F21" i="3" s="1"/>
  <c r="D23" i="2"/>
  <c r="D24" i="2" s="1"/>
  <c r="C21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<sst xmlns="http://schemas.openxmlformats.org/spreadsheetml/2006/main" count="425" uniqueCount="250">
  <si>
    <t>Aiden</t>
  </si>
  <si>
    <t>Welch</t>
  </si>
  <si>
    <t>Andrew</t>
  </si>
  <si>
    <t>Daukus</t>
  </si>
  <si>
    <t>Ansh</t>
  </si>
  <si>
    <t>Timaul</t>
  </si>
  <si>
    <t>Chase</t>
  </si>
  <si>
    <t>Cascone</t>
  </si>
  <si>
    <t>Chris</t>
  </si>
  <si>
    <t>Cian</t>
  </si>
  <si>
    <t>Flanagan </t>
  </si>
  <si>
    <t>Curran</t>
  </si>
  <si>
    <t>Hedge </t>
  </si>
  <si>
    <t>Declan</t>
  </si>
  <si>
    <t>Gabe</t>
  </si>
  <si>
    <t>Brugnolo </t>
  </si>
  <si>
    <t>Hunter</t>
  </si>
  <si>
    <t>Keane</t>
  </si>
  <si>
    <t>Jack</t>
  </si>
  <si>
    <t>DiGiuseppe</t>
  </si>
  <si>
    <t>Jackson</t>
  </si>
  <si>
    <t>Keane </t>
  </si>
  <si>
    <t>Logan</t>
  </si>
  <si>
    <t>Merritt</t>
  </si>
  <si>
    <t>Luke</t>
  </si>
  <si>
    <t>Albino</t>
  </si>
  <si>
    <t>Nick</t>
  </si>
  <si>
    <t>Baldelli </t>
  </si>
  <si>
    <t>Parker</t>
  </si>
  <si>
    <t>Evans </t>
  </si>
  <si>
    <t>Payton</t>
  </si>
  <si>
    <t>Pentino </t>
  </si>
  <si>
    <t>Peter</t>
  </si>
  <si>
    <t>RJ</t>
  </si>
  <si>
    <t>Tyler</t>
  </si>
  <si>
    <t>First Name</t>
  </si>
  <si>
    <t>Last Name</t>
  </si>
  <si>
    <t>Grad Year</t>
  </si>
  <si>
    <t>Grade 2026</t>
  </si>
  <si>
    <t>Full Name</t>
  </si>
  <si>
    <t>First Installment</t>
  </si>
  <si>
    <t>Second Installment</t>
  </si>
  <si>
    <t>Piccirillo</t>
  </si>
  <si>
    <t>Birth Date</t>
  </si>
  <si>
    <t>Owen</t>
  </si>
  <si>
    <t>Cohelho</t>
  </si>
  <si>
    <t>Will</t>
  </si>
  <si>
    <t>Rodgers</t>
  </si>
  <si>
    <t>Thomas</t>
  </si>
  <si>
    <t>Martin</t>
  </si>
  <si>
    <t>Row Labels</t>
  </si>
  <si>
    <t>Grand Total</t>
  </si>
  <si>
    <t>Count of First Name</t>
  </si>
  <si>
    <t>Dylan</t>
  </si>
  <si>
    <t>Rooms</t>
  </si>
  <si>
    <t>Coach</t>
  </si>
  <si>
    <t>Total</t>
  </si>
  <si>
    <t>Totals</t>
  </si>
  <si>
    <t># of Students</t>
  </si>
  <si>
    <t>Airfare</t>
  </si>
  <si>
    <t>Hotel</t>
  </si>
  <si>
    <t xml:space="preserve">Buses </t>
  </si>
  <si>
    <t>Pool</t>
  </si>
  <si>
    <t>Food</t>
  </si>
  <si>
    <t>Bfast</t>
  </si>
  <si>
    <t>Total Per Panther 2025</t>
  </si>
  <si>
    <t>Total Per Panther 2026</t>
  </si>
  <si>
    <t>Totals 2026</t>
  </si>
  <si>
    <t>Diff</t>
  </si>
  <si>
    <t>Famiglietti </t>
  </si>
  <si>
    <t>Kevin</t>
  </si>
  <si>
    <t>Weitekamp</t>
  </si>
  <si>
    <t>Swim</t>
  </si>
  <si>
    <t>Diver</t>
  </si>
  <si>
    <t>James</t>
  </si>
  <si>
    <t>Zain</t>
  </si>
  <si>
    <t>Silva</t>
  </si>
  <si>
    <t>White</t>
  </si>
  <si>
    <t>Seat to FLL</t>
  </si>
  <si>
    <t>Seat to HVN</t>
  </si>
  <si>
    <t>Tran</t>
  </si>
  <si>
    <t>Marc</t>
  </si>
  <si>
    <t>Hussain</t>
  </si>
  <si>
    <t>Zahaan</t>
  </si>
  <si>
    <t>Ghrewati</t>
  </si>
  <si>
    <t>Group</t>
  </si>
  <si>
    <t>A</t>
  </si>
  <si>
    <t>B</t>
  </si>
  <si>
    <t>C</t>
  </si>
  <si>
    <t>D</t>
  </si>
  <si>
    <t>E</t>
  </si>
  <si>
    <t>F</t>
  </si>
  <si>
    <t>H</t>
  </si>
  <si>
    <t>G</t>
  </si>
  <si>
    <t>I</t>
  </si>
  <si>
    <t>(blank)</t>
  </si>
  <si>
    <t>Count of Full Name</t>
  </si>
  <si>
    <t>J</t>
  </si>
  <si>
    <t>Med</t>
  </si>
  <si>
    <t>Mike</t>
  </si>
  <si>
    <t>Francis</t>
  </si>
  <si>
    <t>Adult</t>
  </si>
  <si>
    <t>Role</t>
  </si>
  <si>
    <t>Reservation Code</t>
  </si>
  <si>
    <t>Age</t>
  </si>
  <si>
    <t>Z</t>
  </si>
  <si>
    <t>VZGYQB</t>
  </si>
  <si>
    <t>25A</t>
  </si>
  <si>
    <t>26D</t>
  </si>
  <si>
    <t>27C</t>
  </si>
  <si>
    <t>26C</t>
  </si>
  <si>
    <t>26A</t>
  </si>
  <si>
    <t>27B</t>
  </si>
  <si>
    <t>26F</t>
  </si>
  <si>
    <t>26E</t>
  </si>
  <si>
    <t>27A</t>
  </si>
  <si>
    <t>26B</t>
  </si>
  <si>
    <t>AA</t>
  </si>
  <si>
    <t>DN3365</t>
  </si>
  <si>
    <t>ABGM5E</t>
  </si>
  <si>
    <t>NX3T9L</t>
  </si>
  <si>
    <t>27E</t>
  </si>
  <si>
    <t>28A</t>
  </si>
  <si>
    <t>25C</t>
  </si>
  <si>
    <t>27F</t>
  </si>
  <si>
    <t>29E</t>
  </si>
  <si>
    <t>27D</t>
  </si>
  <si>
    <t>29A</t>
  </si>
  <si>
    <t>29B</t>
  </si>
  <si>
    <t>28B</t>
  </si>
  <si>
    <t>29C</t>
  </si>
  <si>
    <t>28C</t>
  </si>
  <si>
    <t>29F</t>
  </si>
  <si>
    <t>31E</t>
  </si>
  <si>
    <t>30E</t>
  </si>
  <si>
    <t>30D</t>
  </si>
  <si>
    <t>29D</t>
  </si>
  <si>
    <t>30F</t>
  </si>
  <si>
    <t>25D</t>
  </si>
  <si>
    <t>30A</t>
  </si>
  <si>
    <t>31A</t>
  </si>
  <si>
    <t>30B</t>
  </si>
  <si>
    <t>30C</t>
  </si>
  <si>
    <t>31B</t>
  </si>
  <si>
    <t>31C</t>
  </si>
  <si>
    <t>32C</t>
  </si>
  <si>
    <t>31D</t>
  </si>
  <si>
    <t>32D</t>
  </si>
  <si>
    <t>32A</t>
  </si>
  <si>
    <t>32E</t>
  </si>
  <si>
    <t>32B</t>
  </si>
  <si>
    <t>28F</t>
  </si>
  <si>
    <t>28E</t>
  </si>
  <si>
    <t>28D</t>
  </si>
  <si>
    <t>Count</t>
  </si>
  <si>
    <t>Queen</t>
  </si>
  <si>
    <t>Adult-2Queen</t>
  </si>
  <si>
    <t>King</t>
  </si>
  <si>
    <t>2026 FOOD BUDGET Proposal</t>
  </si>
  <si>
    <t>Date</t>
  </si>
  <si>
    <t>Meals To Be Covered By Envelope $</t>
  </si>
  <si>
    <t>Additional Details</t>
  </si>
  <si>
    <t>Lunch &amp; Dinner</t>
  </si>
  <si>
    <t>Pizza Dinner Covered By Team @ Hotel</t>
  </si>
  <si>
    <t xml:space="preserve">Lunch &amp; Team Dinner </t>
  </si>
  <si>
    <t>Budget</t>
  </si>
  <si>
    <t>Scacco</t>
  </si>
  <si>
    <t>Student Counter</t>
  </si>
  <si>
    <t>29 kids (Remove Payton)</t>
  </si>
  <si>
    <t>Cameron</t>
  </si>
  <si>
    <t>Cook</t>
  </si>
  <si>
    <t>Donald</t>
  </si>
  <si>
    <t>GAZE48</t>
  </si>
  <si>
    <t>25F</t>
  </si>
  <si>
    <t>Down Payment</t>
  </si>
  <si>
    <t>Remainder</t>
  </si>
  <si>
    <t>60 Days out</t>
  </si>
  <si>
    <t>Collected Amount</t>
  </si>
  <si>
    <t>First Payment</t>
  </si>
  <si>
    <t>Second Paymenrt</t>
  </si>
  <si>
    <t>Received</t>
  </si>
  <si>
    <t>Amount</t>
  </si>
  <si>
    <t>Overrun</t>
  </si>
  <si>
    <t>Cost</t>
  </si>
  <si>
    <t>Cost Per Student</t>
  </si>
  <si>
    <t>Total Students</t>
  </si>
  <si>
    <t>Payments</t>
  </si>
  <si>
    <t>Installment 1 Paid</t>
  </si>
  <si>
    <t>Installment 1 Total</t>
  </si>
  <si>
    <t>Installment 2 Paid</t>
  </si>
  <si>
    <t>Installment 2 Missing</t>
  </si>
  <si>
    <t>Installment 1 Missing</t>
  </si>
  <si>
    <t>Installment 1 Per Student</t>
  </si>
  <si>
    <t>Installment 2 Per Student</t>
  </si>
  <si>
    <t>2026 Florida Trip</t>
  </si>
  <si>
    <t>Dinner  Budget Withheld?</t>
  </si>
  <si>
    <t>tip for bus triver</t>
  </si>
  <si>
    <t>food</t>
  </si>
  <si>
    <t>tip for diving coach</t>
  </si>
  <si>
    <t>airport lunch/snack</t>
  </si>
  <si>
    <t xml:space="preserve">Bo's </t>
  </si>
  <si>
    <t>Cash</t>
  </si>
  <si>
    <t>29+4</t>
  </si>
  <si>
    <t>Permission Form</t>
  </si>
  <si>
    <t>Cook, Cameron</t>
  </si>
  <si>
    <t>Famiglietti , Mike</t>
  </si>
  <si>
    <t>Pentino , Francis</t>
  </si>
  <si>
    <t>Coelho</t>
  </si>
  <si>
    <t>Hedge</t>
  </si>
  <si>
    <t>Famiglietti</t>
  </si>
  <si>
    <t>Parent Pickup</t>
  </si>
  <si>
    <t>☑️</t>
  </si>
  <si>
    <t>Driving Others</t>
  </si>
  <si>
    <t>Flanagan, Timaul</t>
  </si>
  <si>
    <t>Pentino?</t>
  </si>
  <si>
    <t>Passenger With</t>
  </si>
  <si>
    <t>Albino, James</t>
  </si>
  <si>
    <t>Albino, Luke</t>
  </si>
  <si>
    <t>Baldelli , Nick</t>
  </si>
  <si>
    <t>Brugnolo , Gabe</t>
  </si>
  <si>
    <t>Cascone, Chase</t>
  </si>
  <si>
    <t>Cohelho, Owen</t>
  </si>
  <si>
    <t>Daukus, Andrew</t>
  </si>
  <si>
    <t>DiGiuseppe, Jack</t>
  </si>
  <si>
    <t>Evans , Parker</t>
  </si>
  <si>
    <t>Famiglietti , Declan</t>
  </si>
  <si>
    <t>Flanagan , Cian</t>
  </si>
  <si>
    <t>Ghrewati, Zain</t>
  </si>
  <si>
    <t>Hedge , Curran</t>
  </si>
  <si>
    <t>Hussain, Zahaan</t>
  </si>
  <si>
    <t>Keane , Jackson</t>
  </si>
  <si>
    <t>Keane, Hunter</t>
  </si>
  <si>
    <t>Martin, Thomas</t>
  </si>
  <si>
    <t>Merritt, Logan</t>
  </si>
  <si>
    <t>Pentino , Payton</t>
  </si>
  <si>
    <t>Piccirillo, RJ</t>
  </si>
  <si>
    <t>Rodgers, Will</t>
  </si>
  <si>
    <t>Scacco, Donald</t>
  </si>
  <si>
    <t>Silva, Chris</t>
  </si>
  <si>
    <t>Silva, Tyler</t>
  </si>
  <si>
    <t>Timaul, Ansh</t>
  </si>
  <si>
    <t>Tran, Marc</t>
  </si>
  <si>
    <t>Weitekamp, Kevin</t>
  </si>
  <si>
    <t>Welch, Aiden</t>
  </si>
  <si>
    <t>Welch, Dylan</t>
  </si>
  <si>
    <t>White, Peter</t>
  </si>
  <si>
    <t>Albino x2</t>
  </si>
  <si>
    <t>D. Welsh</t>
  </si>
  <si>
    <t>Piccirillo,White</t>
  </si>
  <si>
    <t>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</si>
</sst>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/d/yyyy;@"/>
    <numFmt numFmtId="166" formatCode="_(&quot;$&quot;* #,##0_);_(&quot;$&quot;* \(#,##0\);_(&quot;$&quot;* &quot;-&quot;??_);_(@_)"/>
    <numFmt numFmtId="167" formatCode="_(* #,##0_);_(* \(#,##0\);_(* &quot;-&quot;??_);_(@_)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rgb="FF002060"/>
      <name val="Calibri"/>
      <family val="2"/>
    </font>
    <font>
      <sz val="18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2060"/>
      <name val="Calibri"/>
      <family val="2"/>
    </font>
    <font>
      <b/>
      <sz val="24"/>
      <color rgb="FF002060"/>
      <name val="Calibri"/>
      <family val="2"/>
    </font>
    <font>
      <b/>
      <sz val="12"/>
      <color rgb="FF002060"/>
      <name val="Calibri"/>
      <family val="2"/>
    </font>
    <font>
      <sz val="12"/>
      <color rgb="FF002060"/>
      <name val="Calibri"/>
      <family val="2"/>
    </font>
    <font>
      <sz val="26"/>
      <color theme="1"/>
      <name val="Calibri"/>
      <family val="2"/>
    </font>
    <font>
      <sz val="16"/>
      <name val="Aptos Display"/>
      <scheme val="major"/>
    </font>
    <font>
      <b/>
      <sz val="16"/>
      <name val="Aptos Display"/>
      <scheme val="major"/>
    </font>
    <font>
      <b/>
      <sz val="20"/>
      <name val="Aptos Display"/>
      <scheme val="major"/>
    </font>
    <font>
      <b/>
      <sz val="20"/>
      <color theme="1"/>
      <name val="Aptos Display"/>
      <scheme val="maj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164" fontId="5" fillId="0" borderId="0" xfId="0" applyNumberFormat="1" applyFont="1"/>
    <xf numFmtId="165" fontId="0" fillId="0" borderId="0" xfId="0" applyNumberFormat="1"/>
    <xf numFmtId="166" fontId="0" fillId="0" borderId="0" xfId="3" applyNumberFormat="1" applyFont="1"/>
    <xf numFmtId="167" fontId="0" fillId="0" borderId="0" xfId="2" applyNumberFormat="1" applyFont="1"/>
    <xf numFmtId="167" fontId="0" fillId="2" borderId="0" xfId="2" applyNumberFormat="1" applyFont="1" applyFill="1"/>
    <xf numFmtId="0" fontId="6" fillId="0" borderId="1" xfId="0" applyFont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/>
    </xf>
    <xf numFmtId="44" fontId="8" fillId="0" borderId="1" xfId="3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44" fontId="0" fillId="0" borderId="0" xfId="0" applyNumberFormat="1"/>
    <xf numFmtId="164" fontId="0" fillId="0" borderId="0" xfId="0" applyNumberFormat="1"/>
    <xf numFmtId="44" fontId="0" fillId="0" borderId="0" xfId="3" applyFont="1"/>
    <xf numFmtId="0" fontId="11" fillId="0" borderId="0" xfId="0" applyFont="1"/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14" fillId="0" borderId="0" xfId="0" applyFont="1" applyAlignment="1">
      <alignment horizontal="centerContinuous"/>
    </xf>
    <xf numFmtId="0" fontId="15" fillId="0" borderId="0" xfId="0" applyFont="1" applyAlignment="1">
      <alignment horizontal="center" vertical="center"/>
    </xf>
    <xf numFmtId="167" fontId="11" fillId="0" borderId="0" xfId="2" applyNumberFormat="1" applyFont="1"/>
    <xf numFmtId="164" fontId="11" fillId="0" borderId="0" xfId="0" applyNumberFormat="1" applyFont="1"/>
    <xf numFmtId="44" fontId="8" fillId="0" borderId="3" xfId="3" applyFont="1" applyFill="1" applyBorder="1" applyAlignment="1">
      <alignment horizontal="center"/>
    </xf>
    <xf numFmtId="0" fontId="16" fillId="3" borderId="1" xfId="0" applyFont="1" applyFill="1" applyBorder="1"/>
    <xf numFmtId="0" fontId="1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6" fillId="3" borderId="4" xfId="0" applyFont="1" applyFill="1" applyBorder="1"/>
    <xf numFmtId="0" fontId="16" fillId="3" borderId="4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m/d/yyyy;@"/>
    </dxf>
    <dxf>
      <numFmt numFmtId="167" formatCode="_(* #,##0_);_(* \(#,##0\);_(* &quot;-&quot;??_);_(@_)"/>
    </dxf>
    <dxf>
      <numFmt numFmtId="165" formatCode="m/d/yyyy;@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K" refreshedDate="45968.898180671298" createdVersion="8" refreshedVersion="8" minRefreshableVersion="3" recordCount="32" xr:uid="{1DFB3ECE-1207-8045-9458-079BC6894420}">
  <cacheSource type="worksheet">
    <worksheetSource name="Table1"/>
  </cacheSource>
  <cacheFields count="15">
    <cacheField name="Full Name" numFmtId="0">
      <sharedItems/>
    </cacheField>
    <cacheField name="First Name" numFmtId="0">
      <sharedItems/>
    </cacheField>
    <cacheField name="Last Name" numFmtId="0">
      <sharedItems/>
    </cacheField>
    <cacheField name="Grad Year" numFmtId="0">
      <sharedItems containsMixedTypes="1" containsNumber="1" containsInteger="1" minValue="2026" maxValue="2029" count="6">
        <n v="2026"/>
        <n v="2027"/>
        <n v="2028"/>
        <n v="2029"/>
        <s v="Coach"/>
        <s v="Med"/>
      </sharedItems>
    </cacheField>
    <cacheField name="Grade 2026" numFmtId="0">
      <sharedItems count="7">
        <s v="Senior"/>
        <s v="Junior"/>
        <s v="Sophmore"/>
        <s v="Freshman"/>
        <s v="Adult"/>
        <s v="Med" u="1"/>
        <s v="Coach" u="1"/>
      </sharedItems>
    </cacheField>
    <cacheField name="Birth Date" numFmtId="165">
      <sharedItems containsNonDate="0" containsDate="1" containsString="0" containsBlank="1" minDate="1968-04-25T00:00:00" maxDate="2011-04-08T00:00:00"/>
    </cacheField>
    <cacheField name="Age" numFmtId="167">
      <sharedItems containsSemiMixedTypes="0" containsString="0" containsNumber="1" containsInteger="1" minValue="14" maxValue="126"/>
    </cacheField>
    <cacheField name="Role" numFmtId="165">
      <sharedItems/>
    </cacheField>
    <cacheField name="First Installment" numFmtId="0">
      <sharedItems containsString="0" containsBlank="1" containsNumber="1" containsInteger="1" minValue="1" maxValue="1"/>
    </cacheField>
    <cacheField name="Group" numFmtId="0">
      <sharedItems containsBlank="1" count="13">
        <s v="B"/>
        <s v="E"/>
        <s v="C"/>
        <s v="AA"/>
        <s v="H"/>
        <s v="D"/>
        <s v="F"/>
        <s v="I"/>
        <s v="A"/>
        <s v="G"/>
        <s v="J"/>
        <m/>
        <s v="Z"/>
      </sharedItems>
    </cacheField>
    <cacheField name="Count" numFmtId="0">
      <sharedItems containsString="0" containsBlank="1" containsNumber="1" containsInteger="1" minValue="1" maxValue="1"/>
    </cacheField>
    <cacheField name="Second Installment" numFmtId="0">
      <sharedItems containsNonDate="0" containsString="0" containsBlank="1"/>
    </cacheField>
    <cacheField name="Reservation Code" numFmtId="0">
      <sharedItems containsBlank="1"/>
    </cacheField>
    <cacheField name="Seat to FLL" numFmtId="0">
      <sharedItems containsBlank="1"/>
    </cacheField>
    <cacheField name="Seat to HV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Albino, Luke"/>
    <s v="Luke"/>
    <s v="Albino"/>
    <x v="0"/>
    <x v="0"/>
    <d v="2008-04-08T00:00:00"/>
    <n v="17"/>
    <s v="Swim"/>
    <n v="1"/>
    <x v="0"/>
    <n v="1"/>
    <m/>
    <s v="VZGYQB"/>
    <s v="26A"/>
    <s v="27F"/>
  </r>
  <r>
    <s v="Cohelho, Owen"/>
    <s v="Owen"/>
    <s v="Cohelho"/>
    <x v="0"/>
    <x v="0"/>
    <d v="2008-06-23T00:00:00"/>
    <n v="17"/>
    <s v="Swim"/>
    <n v="1"/>
    <x v="1"/>
    <n v="1"/>
    <m/>
    <s v="DN3365"/>
    <s v="28A"/>
    <s v="29F"/>
  </r>
  <r>
    <s v="Ghrewati, Zain"/>
    <s v="Zain"/>
    <s v="Ghrewati"/>
    <x v="0"/>
    <x v="0"/>
    <d v="2008-02-14T00:00:00"/>
    <n v="17"/>
    <s v="Swim"/>
    <n v="1"/>
    <x v="2"/>
    <n v="1"/>
    <m/>
    <s v="VZGYQB"/>
    <s v="26D"/>
    <s v="27C"/>
  </r>
  <r>
    <s v="Hedge , Curran"/>
    <s v="Curran"/>
    <s v="Hedge "/>
    <x v="0"/>
    <x v="0"/>
    <d v="2007-12-28T00:00:00"/>
    <n v="18"/>
    <s v="Diver"/>
    <n v="1"/>
    <x v="3"/>
    <n v="1"/>
    <m/>
    <s v="NX3T9L"/>
    <s v="27E"/>
    <s v="28A"/>
  </r>
  <r>
    <s v="Hussain, Zahaan"/>
    <s v="Zahaan"/>
    <s v="Hussain"/>
    <x v="0"/>
    <x v="0"/>
    <d v="2008-01-03T00:00:00"/>
    <n v="18"/>
    <s v="Swim"/>
    <n v="1"/>
    <x v="0"/>
    <n v="1"/>
    <m/>
    <s v="VZGYQB"/>
    <s v="26C"/>
    <s v="27D"/>
  </r>
  <r>
    <s v="Merritt, Logan"/>
    <s v="Logan"/>
    <s v="Merritt"/>
    <x v="0"/>
    <x v="0"/>
    <d v="2008-04-26T00:00:00"/>
    <n v="17"/>
    <s v="Swim"/>
    <n v="1"/>
    <x v="4"/>
    <n v="1"/>
    <m/>
    <s v="ABGM5E"/>
    <s v="30A"/>
    <s v="32C"/>
  </r>
  <r>
    <s v="Rodgers, Will"/>
    <s v="Will"/>
    <s v="Rodgers"/>
    <x v="0"/>
    <x v="0"/>
    <d v="2008-10-27T00:00:00"/>
    <n v="17"/>
    <s v="Swim"/>
    <n v="1"/>
    <x v="2"/>
    <n v="1"/>
    <m/>
    <s v="VZGYQB"/>
    <s v="26E"/>
    <s v="27B"/>
  </r>
  <r>
    <s v="Timaul, Ansh"/>
    <s v="Ansh"/>
    <s v="Timaul"/>
    <x v="0"/>
    <x v="0"/>
    <d v="2008-11-06T00:00:00"/>
    <n v="17"/>
    <s v="Swim"/>
    <n v="1"/>
    <x v="1"/>
    <n v="1"/>
    <m/>
    <s v="DN3365"/>
    <s v="28B"/>
    <s v="29E"/>
  </r>
  <r>
    <s v="Tran, Marc"/>
    <s v="Marc"/>
    <s v="Tran"/>
    <x v="0"/>
    <x v="0"/>
    <d v="2008-08-09T00:00:00"/>
    <n v="17"/>
    <s v="Swim"/>
    <n v="1"/>
    <x v="5"/>
    <n v="1"/>
    <m/>
    <s v="VZGYQB"/>
    <s v="27C"/>
    <s v="28D"/>
  </r>
  <r>
    <s v="DiGiuseppe, Jack"/>
    <s v="Jack"/>
    <s v="DiGiuseppe"/>
    <x v="1"/>
    <x v="1"/>
    <d v="2009-05-28T00:00:00"/>
    <n v="16"/>
    <s v="Swim"/>
    <n v="1"/>
    <x v="6"/>
    <n v="1"/>
    <m/>
    <s v="DN3365"/>
    <s v="29B"/>
    <s v="30E"/>
  </r>
  <r>
    <s v="Flanagan , Cian"/>
    <s v="Cian"/>
    <s v="Flanagan "/>
    <x v="1"/>
    <x v="1"/>
    <d v="2009-11-12T00:00:00"/>
    <n v="16"/>
    <s v="Swim"/>
    <n v="1"/>
    <x v="7"/>
    <n v="1"/>
    <m/>
    <s v="ABGM5E"/>
    <s v="31C"/>
    <s v="32E"/>
  </r>
  <r>
    <s v="Pentino , Payton"/>
    <s v="Payton"/>
    <s v="Pentino "/>
    <x v="1"/>
    <x v="1"/>
    <d v="2008-09-12T00:00:00"/>
    <n v="17"/>
    <s v="Diver"/>
    <m/>
    <x v="8"/>
    <n v="1"/>
    <m/>
    <s v="DN3365"/>
    <s v="27F"/>
    <s v="28C"/>
  </r>
  <r>
    <s v="Piccirillo, RJ"/>
    <s v="RJ"/>
    <s v="Piccirillo"/>
    <x v="1"/>
    <x v="1"/>
    <d v="2009-11-15T00:00:00"/>
    <n v="16"/>
    <s v="Swim"/>
    <n v="1"/>
    <x v="9"/>
    <n v="1"/>
    <m/>
    <s v="ABGM5E"/>
    <s v="30C"/>
    <s v="31C"/>
  </r>
  <r>
    <s v="Silva, Chris"/>
    <s v="Chris"/>
    <s v="Silva"/>
    <x v="1"/>
    <x v="1"/>
    <d v="2009-04-21T00:00:00"/>
    <n v="16"/>
    <s v="Swim"/>
    <n v="1"/>
    <x v="5"/>
    <n v="1"/>
    <m/>
    <s v="VZGYQB"/>
    <s v="27B"/>
    <s v="28E"/>
  </r>
  <r>
    <s v="Weitekamp, Kevin"/>
    <s v="Kevin"/>
    <s v="Weitekamp"/>
    <x v="1"/>
    <x v="1"/>
    <d v="2009-03-24T00:00:00"/>
    <n v="16"/>
    <s v="Diver"/>
    <n v="1"/>
    <x v="8"/>
    <n v="1"/>
    <m/>
    <s v="DN3365"/>
    <s v="27D"/>
    <s v="28B"/>
  </r>
  <r>
    <s v="Welch, Aiden"/>
    <s v="Aiden"/>
    <s v="Welch"/>
    <x v="1"/>
    <x v="1"/>
    <d v="2009-04-18T00:00:00"/>
    <n v="16"/>
    <s v="Swim"/>
    <n v="1"/>
    <x v="2"/>
    <n v="1"/>
    <m/>
    <s v="VZGYQB"/>
    <s v="26F"/>
    <s v="27A"/>
  </r>
  <r>
    <s v="White, Peter"/>
    <s v="Peter"/>
    <s v="White"/>
    <x v="1"/>
    <x v="1"/>
    <d v="2009-08-26T00:00:00"/>
    <n v="16"/>
    <s v="Swim"/>
    <n v="1"/>
    <x v="10"/>
    <n v="1"/>
    <m/>
    <s v="DN3365"/>
    <s v="29E"/>
    <s v="31E"/>
  </r>
  <r>
    <s v="Baldelli , Nick"/>
    <s v="Nick"/>
    <s v="Baldelli "/>
    <x v="2"/>
    <x v="2"/>
    <d v="2010-08-06T00:00:00"/>
    <n v="15"/>
    <s v="Swim"/>
    <n v="1"/>
    <x v="0"/>
    <n v="1"/>
    <m/>
    <s v="VZGYQB"/>
    <s v="26B"/>
    <s v="27E"/>
  </r>
  <r>
    <s v="Brugnolo , Gabe"/>
    <s v="Gabe"/>
    <s v="Brugnolo "/>
    <x v="2"/>
    <x v="2"/>
    <d v="2010-09-25T00:00:00"/>
    <n v="15"/>
    <s v="Swim"/>
    <n v="1"/>
    <x v="4"/>
    <n v="1"/>
    <m/>
    <s v="ABGM5E"/>
    <s v="30B"/>
    <s v="32A"/>
  </r>
  <r>
    <s v="Cascone, Chase"/>
    <s v="Chase"/>
    <s v="Cascone"/>
    <x v="2"/>
    <x v="2"/>
    <d v="2010-07-26T00:00:00"/>
    <n v="15"/>
    <s v="Swim"/>
    <n v="1"/>
    <x v="7"/>
    <n v="1"/>
    <m/>
    <s v="ABGM5E"/>
    <s v="31B"/>
    <s v="32B"/>
  </r>
  <r>
    <s v="Daukus, Andrew"/>
    <s v="Andrew"/>
    <s v="Daukus"/>
    <x v="2"/>
    <x v="2"/>
    <d v="2010-06-11T00:00:00"/>
    <n v="15"/>
    <s v="Swim"/>
    <n v="1"/>
    <x v="7"/>
    <n v="1"/>
    <m/>
    <s v="ABGM5E"/>
    <s v="31A"/>
    <s v="32D"/>
  </r>
  <r>
    <s v="Evans , Parker"/>
    <s v="Parker"/>
    <s v="Evans "/>
    <x v="2"/>
    <x v="2"/>
    <d v="2010-08-07T00:00:00"/>
    <n v="15"/>
    <s v="Swim"/>
    <n v="1"/>
    <x v="5"/>
    <n v="1"/>
    <m/>
    <s v="VZGYQB"/>
    <s v="27A"/>
    <s v="28F"/>
  </r>
  <r>
    <s v="Keane, Hunter"/>
    <s v="Hunter"/>
    <s v="Keane"/>
    <x v="2"/>
    <x v="2"/>
    <d v="2009-09-30T00:00:00"/>
    <n v="16"/>
    <s v="Swim"/>
    <n v="1"/>
    <x v="10"/>
    <n v="1"/>
    <m/>
    <s v="ABGM5E"/>
    <s v="29D"/>
    <s v="31D"/>
  </r>
  <r>
    <s v="Martin, Thomas"/>
    <s v="Thomas"/>
    <s v="Martin"/>
    <x v="2"/>
    <x v="2"/>
    <d v="2010-01-19T00:00:00"/>
    <n v="16"/>
    <s v="Swim"/>
    <n v="1"/>
    <x v="6"/>
    <n v="1"/>
    <m/>
    <s v="DN3365"/>
    <s v="29C"/>
    <s v="30D"/>
  </r>
  <r>
    <s v="Welch, Dylan"/>
    <s v="Dylan"/>
    <s v="Welch"/>
    <x v="2"/>
    <x v="2"/>
    <d v="2010-07-22T00:00:00"/>
    <n v="15"/>
    <s v="Swim"/>
    <n v="1"/>
    <x v="1"/>
    <n v="1"/>
    <m/>
    <s v="DN3365"/>
    <s v="28C"/>
    <s v="29D"/>
  </r>
  <r>
    <s v="Famiglietti , Declan"/>
    <s v="Declan"/>
    <s v="Famiglietti "/>
    <x v="3"/>
    <x v="3"/>
    <d v="2011-04-07T00:00:00"/>
    <n v="14"/>
    <s v="Swim"/>
    <m/>
    <x v="9"/>
    <n v="1"/>
    <m/>
    <s v="ABGM5E"/>
    <s v="30D"/>
    <s v="31A"/>
  </r>
  <r>
    <s v="Keane , Jackson"/>
    <s v="Jackson"/>
    <s v="Keane "/>
    <x v="3"/>
    <x v="3"/>
    <d v="2011-04-06T00:00:00"/>
    <n v="14"/>
    <s v="Swim"/>
    <n v="1"/>
    <x v="9"/>
    <n v="1"/>
    <m/>
    <s v="ABGM5E"/>
    <s v="30E"/>
    <s v="31B"/>
  </r>
  <r>
    <s v="Silva, Tyler"/>
    <s v="Tyler"/>
    <s v="Silva"/>
    <x v="3"/>
    <x v="3"/>
    <d v="2010-12-09T00:00:00"/>
    <n v="15"/>
    <s v="Swim"/>
    <n v="1"/>
    <x v="6"/>
    <n v="1"/>
    <m/>
    <s v="DN3365"/>
    <s v="29A"/>
    <s v="30F"/>
  </r>
  <r>
    <s v="Don, Scacco"/>
    <s v="Scacco"/>
    <s v="Don"/>
    <x v="1"/>
    <x v="1"/>
    <m/>
    <n v="126"/>
    <s v="Swim"/>
    <m/>
    <x v="11"/>
    <m/>
    <m/>
    <m/>
    <m/>
    <m/>
  </r>
  <r>
    <s v="Famiglietti , Mike"/>
    <s v="Mike"/>
    <s v="Famiglietti "/>
    <x v="4"/>
    <x v="4"/>
    <d v="1978-06-04T00:00:00"/>
    <n v="47"/>
    <s v="Adult"/>
    <m/>
    <x v="12"/>
    <n v="1"/>
    <m/>
    <s v="ABGM5E"/>
    <s v="25D"/>
    <s v="26C"/>
  </r>
  <r>
    <s v="Pentino , Francis"/>
    <s v="Francis"/>
    <s v="Pentino "/>
    <x v="4"/>
    <x v="4"/>
    <d v="1970-09-03T00:00:00"/>
    <n v="55"/>
    <s v="Adult"/>
    <m/>
    <x v="12"/>
    <n v="1"/>
    <m/>
    <s v="DN3365"/>
    <s v="25C"/>
    <s v="26D"/>
  </r>
  <r>
    <s v="Albino, James"/>
    <s v="James"/>
    <s v="Albino"/>
    <x v="5"/>
    <x v="4"/>
    <d v="1968-04-25T00:00:00"/>
    <n v="57"/>
    <s v="Adult"/>
    <m/>
    <x v="12"/>
    <n v="1"/>
    <m/>
    <s v="VZGYQB"/>
    <s v="25A"/>
    <s v="26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707C3-4364-2348-BD90-319E286BDC1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2:L56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axis="axisRow" showAll="0">
      <items count="14">
        <item x="8"/>
        <item x="0"/>
        <item x="2"/>
        <item x="5"/>
        <item x="1"/>
        <item x="6"/>
        <item x="9"/>
        <item x="4"/>
        <item x="7"/>
        <item x="11"/>
        <item x="10"/>
        <item x="3"/>
        <item x="12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Full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854D4-AAE0-6643-A1C5-511338A67BB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B48" firstHeaderRow="1" firstDataRow="1" firstDataCol="1"/>
  <pivotFields count="15">
    <pivotField showAll="0"/>
    <pivotField dataField="1" showAll="0"/>
    <pivotField showAll="0"/>
    <pivotField axis="axisRow" showAll="0" sortType="ascending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x="3"/>
        <item x="0"/>
        <item x="1"/>
        <item x="2"/>
        <item m="1" x="5"/>
        <item m="1" x="6"/>
        <item x="4"/>
        <item t="default"/>
      </items>
    </pivotField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Firs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E354B-9B18-FB4B-A138-559219DD5CEF}" name="Table1" displayName="Table1" ref="A1:Q35" totalsRowCount="1">
  <autoFilter ref="A1:Q34" xr:uid="{5FDE354B-9B18-FB4B-A138-559219DD5CEF}"/>
  <sortState xmlns:xlrd2="http://schemas.microsoft.com/office/spreadsheetml/2017/richdata2" ref="A2:Q30">
    <sortCondition ref="B1:B34"/>
  </sortState>
  <tableColumns count="17">
    <tableColumn id="16" xr3:uid="{F1C54789-582D-D441-885C-0DF3C47DED4A}" name="Student Counter" totalsRowFunction="custom" dataDxfId="23" totalsRowDxfId="11">
      <totalsRowFormula>SUM(Table1[Student Counter])</totalsRowFormula>
    </tableColumn>
    <tableColumn id="1" xr3:uid="{BFD713E5-4E72-FD40-8766-45133491D9AA}" name="Full Name" totalsRowFunction="count">
      <calculatedColumnFormula>CONCATENATE(D2,", ",C2)</calculatedColumnFormula>
    </tableColumn>
    <tableColumn id="2" xr3:uid="{A47A375A-1E01-F548-8AC3-4016E70FDF39}" name="First Name"/>
    <tableColumn id="3" xr3:uid="{7E2DD8D1-4A8F-9E47-91F5-622A434E50CF}" name="Last Name"/>
    <tableColumn id="4" xr3:uid="{EF231F3B-D130-4A40-BEE8-6417CB16A067}" name="Grad Year" dataDxfId="22"/>
    <tableColumn id="5" xr3:uid="{CDB2DFB5-20E1-0F4F-992A-192B0CB3DE7A}" name="Grade 2026" dataDxfId="21">
      <calculatedColumnFormula array="1">_xlfn.SWITCH(E2,2026,"Senior",2027,"Junior",2028,"Sophmore",2029,"Freshman","Adult")</calculatedColumnFormula>
    </tableColumn>
    <tableColumn id="9" xr3:uid="{45B1AC5F-8769-054F-AF84-DDA35B494B71}" name="Birth Date" totalsRowFunction="custom" dataDxfId="20" totalsRowDxfId="10">
      <totalsRowFormula>COUNT(Table1[Birth Date])</totalsRowFormula>
    </tableColumn>
    <tableColumn id="14" xr3:uid="{900FEB1B-6D61-9A4E-BB00-13E3323C9EE7}" name="Age" dataDxfId="19" totalsRowDxfId="9" dataCellStyle="Comma">
      <calculatedColumnFormula>DATEDIF(Table1[[#This Row],[Birth Date]], "2/12/2026", "y")</calculatedColumnFormula>
    </tableColumn>
    <tableColumn id="8" xr3:uid="{C6CA0E92-AA09-8149-A1CE-E8B5C73DC70E}" name="Role" dataDxfId="18" totalsRowDxfId="8"/>
    <tableColumn id="6" xr3:uid="{CD24BE24-2000-6F41-A6FA-AF9DE25ACC3E}" name="First Installment" totalsRowFunction="custom" dataDxfId="17" totalsRowDxfId="7">
      <totalsRowFormula>SUM(Table1[First Installment])</totalsRowFormula>
    </tableColumn>
    <tableColumn id="13" xr3:uid="{F73C69F2-4A2E-CF49-AC5C-C26F425F7D0A}" name="Group" dataDxfId="16" totalsRowDxfId="6"/>
    <tableColumn id="15" xr3:uid="{EE9FFECA-3092-2646-B01F-0CB4BFD8B708}" name="Count" dataDxfId="15" totalsRowDxfId="5"/>
    <tableColumn id="7" xr3:uid="{123DC32A-8F1C-D24F-A319-8AF29D6719B0}" name="Second Installment" totalsRowFunction="sum" dataDxfId="14" totalsRowDxfId="4"/>
    <tableColumn id="12" xr3:uid="{D94502A4-2BA6-FB40-B39A-E893067B703C}" name="Reservation Code" dataDxfId="13" totalsRowDxfId="3"/>
    <tableColumn id="10" xr3:uid="{89ED0989-7D9A-2647-A00E-2756B88764A0}" name="Seat to FLL" totalsRowDxfId="2"/>
    <tableColumn id="11" xr3:uid="{794CB923-257B-FE46-9B07-D9E3127E518F}" name="Seat to HVN" totalsRowDxfId="1"/>
    <tableColumn id="17" xr3:uid="{B7C2A2AA-0939-3D45-837D-8F22EDE240BC}" name="Permission Form" dataDxfId="12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FC05-3A3D-9040-8DB2-AB73F4557E20}">
  <dimension ref="A1:F28"/>
  <sheetViews>
    <sheetView tabSelected="1" workbookViewId="0">
      <selection activeCell="E29" sqref="E29"/>
    </sheetView>
  </sheetViews>
  <sheetFormatPr baseColWidth="10" defaultRowHeight="20" x14ac:dyDescent="0.25"/>
  <cols>
    <col min="1" max="1" width="29" style="31" bestFit="1" customWidth="1"/>
    <col min="2" max="2" width="16.6640625" style="29" bestFit="1" customWidth="1"/>
    <col min="3" max="3" width="19.5" style="29" bestFit="1" customWidth="1"/>
    <col min="4" max="5" width="13.1640625" style="27" bestFit="1" customWidth="1"/>
    <col min="6" max="16384" width="10.83203125" style="27"/>
  </cols>
  <sheetData>
    <row r="1" spans="1:3" ht="25" x14ac:dyDescent="0.3">
      <c r="A1" s="34" t="s">
        <v>194</v>
      </c>
      <c r="B1" s="33"/>
      <c r="C1" s="33"/>
    </row>
    <row r="2" spans="1:3" ht="25" x14ac:dyDescent="0.3">
      <c r="A2" s="32"/>
      <c r="B2" s="33"/>
      <c r="C2" s="33"/>
    </row>
    <row r="3" spans="1:3" x14ac:dyDescent="0.25">
      <c r="A3" s="30" t="s">
        <v>185</v>
      </c>
      <c r="B3" s="29">
        <v>28</v>
      </c>
    </row>
    <row r="5" spans="1:3" x14ac:dyDescent="0.25">
      <c r="A5" s="30" t="s">
        <v>183</v>
      </c>
      <c r="B5" s="29" t="s">
        <v>56</v>
      </c>
      <c r="C5" s="29" t="s">
        <v>184</v>
      </c>
    </row>
    <row r="6" spans="1:3" x14ac:dyDescent="0.25">
      <c r="A6" s="31" t="s">
        <v>59</v>
      </c>
      <c r="B6" s="28">
        <f>5562.1+5537.1+5527.1+551.99+1305.96</f>
        <v>18484.250000000004</v>
      </c>
      <c r="C6" s="28">
        <f t="shared" ref="C6:C11" si="0">B6/$B$3</f>
        <v>660.15178571428589</v>
      </c>
    </row>
    <row r="7" spans="1:3" x14ac:dyDescent="0.25">
      <c r="A7" s="31" t="s">
        <v>60</v>
      </c>
      <c r="B7" s="28">
        <f>Budget!E5</f>
        <v>20445</v>
      </c>
      <c r="C7" s="28">
        <f t="shared" si="0"/>
        <v>730.17857142857144</v>
      </c>
    </row>
    <row r="8" spans="1:3" x14ac:dyDescent="0.25">
      <c r="A8" s="31" t="s">
        <v>61</v>
      </c>
      <c r="B8" s="28">
        <v>1565</v>
      </c>
      <c r="C8" s="28">
        <f t="shared" si="0"/>
        <v>55.892857142857146</v>
      </c>
    </row>
    <row r="9" spans="1:3" x14ac:dyDescent="0.25">
      <c r="A9" s="31" t="s">
        <v>62</v>
      </c>
      <c r="B9" s="28">
        <f>Budget!E7</f>
        <v>1950.8</v>
      </c>
      <c r="C9" s="28">
        <f t="shared" si="0"/>
        <v>69.671428571428564</v>
      </c>
    </row>
    <row r="10" spans="1:3" x14ac:dyDescent="0.25">
      <c r="A10" s="31" t="s">
        <v>63</v>
      </c>
      <c r="B10" s="28">
        <f>Budget!E8</f>
        <v>7700</v>
      </c>
      <c r="C10" s="28">
        <f t="shared" si="0"/>
        <v>275</v>
      </c>
    </row>
    <row r="11" spans="1:3" x14ac:dyDescent="0.25">
      <c r="A11" s="31" t="s">
        <v>182</v>
      </c>
      <c r="B11" s="28">
        <f>B3*50</f>
        <v>1400</v>
      </c>
      <c r="C11" s="28">
        <f t="shared" si="0"/>
        <v>50</v>
      </c>
    </row>
    <row r="12" spans="1:3" x14ac:dyDescent="0.25">
      <c r="A12" s="31" t="s">
        <v>56</v>
      </c>
      <c r="B12" s="28">
        <f>SUM(B6:B11)</f>
        <v>51545.05</v>
      </c>
      <c r="C12" s="28">
        <f>CEILING(B12/$B$3,5)</f>
        <v>1845</v>
      </c>
    </row>
    <row r="13" spans="1:3" x14ac:dyDescent="0.25">
      <c r="B13" s="28"/>
      <c r="C13" s="28"/>
    </row>
    <row r="14" spans="1:3" x14ac:dyDescent="0.25">
      <c r="A14" s="30" t="s">
        <v>186</v>
      </c>
      <c r="B14" s="28"/>
      <c r="C14" s="28"/>
    </row>
    <row r="15" spans="1:3" x14ac:dyDescent="0.25">
      <c r="A15" s="31" t="s">
        <v>192</v>
      </c>
      <c r="B15" s="28">
        <v>750</v>
      </c>
      <c r="C15" s="28"/>
    </row>
    <row r="16" spans="1:3" x14ac:dyDescent="0.25">
      <c r="A16" s="31" t="s">
        <v>187</v>
      </c>
      <c r="B16" s="28">
        <f>Table1[[#Totals],[First Installment]]*B15</f>
        <v>21000</v>
      </c>
      <c r="C16" s="28">
        <f>B16/B3</f>
        <v>750</v>
      </c>
    </row>
    <row r="17" spans="1:6" x14ac:dyDescent="0.25">
      <c r="A17" s="31" t="s">
        <v>191</v>
      </c>
      <c r="B17" s="28">
        <f>(B3-Table1[[#Totals],[First Installment]]) * B15</f>
        <v>0</v>
      </c>
      <c r="C17" s="28">
        <f>B17/$B$3</f>
        <v>0</v>
      </c>
    </row>
    <row r="18" spans="1:6" x14ac:dyDescent="0.25">
      <c r="A18" s="31" t="s">
        <v>188</v>
      </c>
      <c r="B18" s="28">
        <f>B16+B17</f>
        <v>21000</v>
      </c>
      <c r="C18" s="28">
        <f>B18/$B$3</f>
        <v>750</v>
      </c>
    </row>
    <row r="19" spans="1:6" x14ac:dyDescent="0.25">
      <c r="A19" s="31" t="s">
        <v>193</v>
      </c>
      <c r="B19" s="28">
        <f>C12-B15</f>
        <v>1095</v>
      </c>
      <c r="C19" s="28"/>
    </row>
    <row r="20" spans="1:6" x14ac:dyDescent="0.25">
      <c r="A20" s="31" t="s">
        <v>189</v>
      </c>
      <c r="B20" s="28">
        <f>B19*Table1[[#Totals],[Second Installment]]</f>
        <v>30660</v>
      </c>
      <c r="C20" s="28">
        <f>B20/$B$3</f>
        <v>1095</v>
      </c>
    </row>
    <row r="21" spans="1:6" x14ac:dyDescent="0.25">
      <c r="A21" s="31" t="s">
        <v>190</v>
      </c>
      <c r="B21" s="28">
        <f>B12-B16-B20</f>
        <v>-114.94999999999709</v>
      </c>
      <c r="C21" s="28">
        <f>B21/B3</f>
        <v>-4.1053571428570388</v>
      </c>
      <c r="D21" s="36">
        <f>B3-Table1[[#Totals],[Second Installment]]</f>
        <v>0</v>
      </c>
      <c r="E21" s="27">
        <f>D21*B19</f>
        <v>0</v>
      </c>
      <c r="F21" s="37">
        <f>B21-E21</f>
        <v>-114.94999999999709</v>
      </c>
    </row>
    <row r="26" spans="1:6" x14ac:dyDescent="0.25">
      <c r="D26" s="37">
        <f>B12</f>
        <v>51545.05</v>
      </c>
    </row>
    <row r="27" spans="1:6" x14ac:dyDescent="0.25">
      <c r="D27" s="37">
        <f>B3*1815</f>
        <v>50820</v>
      </c>
      <c r="E27" s="37">
        <f>B12-B11</f>
        <v>50145.05</v>
      </c>
    </row>
    <row r="28" spans="1:6" x14ac:dyDescent="0.25">
      <c r="D28" s="37">
        <f>D26-D27</f>
        <v>725.05000000000291</v>
      </c>
      <c r="E28" s="37">
        <f>D28/4</f>
        <v>181.26250000000073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1065-34F6-5646-AA7A-2A3042792050}">
  <dimension ref="A1:Q56"/>
  <sheetViews>
    <sheetView zoomScale="130" zoomScaleNormal="130" workbookViewId="0">
      <selection activeCell="Q19" sqref="Q19"/>
    </sheetView>
  </sheetViews>
  <sheetFormatPr baseColWidth="10" defaultRowHeight="16" x14ac:dyDescent="0.2"/>
  <cols>
    <col min="1" max="1" width="13" bestFit="1" customWidth="1"/>
    <col min="2" max="2" width="17.83203125" bestFit="1" customWidth="1"/>
    <col min="3" max="3" width="12.6640625" bestFit="1" customWidth="1"/>
    <col min="4" max="4" width="11.6640625" bestFit="1" customWidth="1"/>
    <col min="5" max="5" width="13" bestFit="1" customWidth="1"/>
    <col min="6" max="6" width="12" bestFit="1" customWidth="1"/>
    <col min="7" max="7" width="12" customWidth="1"/>
    <col min="8" max="8" width="7.33203125" bestFit="1" customWidth="1"/>
    <col min="9" max="9" width="17.33203125" bestFit="1" customWidth="1"/>
    <col min="10" max="10" width="8.6640625" bestFit="1" customWidth="1"/>
    <col min="11" max="11" width="13" bestFit="1" customWidth="1"/>
    <col min="12" max="12" width="17" bestFit="1" customWidth="1"/>
    <col min="13" max="13" width="12.6640625" bestFit="1" customWidth="1"/>
    <col min="14" max="14" width="13.5" bestFit="1" customWidth="1"/>
  </cols>
  <sheetData>
    <row r="1" spans="1:17" x14ac:dyDescent="0.2">
      <c r="A1" t="s">
        <v>167</v>
      </c>
      <c r="B1" t="s">
        <v>39</v>
      </c>
      <c r="C1" t="s">
        <v>35</v>
      </c>
      <c r="D1" t="s">
        <v>36</v>
      </c>
      <c r="E1" t="s">
        <v>37</v>
      </c>
      <c r="F1" t="s">
        <v>38</v>
      </c>
      <c r="G1" s="15" t="s">
        <v>43</v>
      </c>
      <c r="H1" s="17" t="s">
        <v>104</v>
      </c>
      <c r="I1" s="15" t="s">
        <v>102</v>
      </c>
      <c r="J1" t="s">
        <v>40</v>
      </c>
      <c r="K1" t="s">
        <v>85</v>
      </c>
      <c r="L1" t="s">
        <v>154</v>
      </c>
      <c r="M1" t="s">
        <v>41</v>
      </c>
      <c r="N1" t="s">
        <v>103</v>
      </c>
      <c r="O1" t="s">
        <v>78</v>
      </c>
      <c r="P1" t="s">
        <v>79</v>
      </c>
      <c r="Q1" t="s">
        <v>203</v>
      </c>
    </row>
    <row r="2" spans="1:17" x14ac:dyDescent="0.2">
      <c r="A2" s="1">
        <v>1</v>
      </c>
      <c r="B2" t="str">
        <f t="shared" ref="B2:B30" si="0">CONCATENATE(D2,", ",C2)</f>
        <v>Albino, Luke</v>
      </c>
      <c r="C2" t="s">
        <v>24</v>
      </c>
      <c r="D2" t="s">
        <v>25</v>
      </c>
      <c r="E2" s="11">
        <v>2026</v>
      </c>
      <c r="F2" t="str" cm="1">
        <f t="array" ref="F2">_xlfn.SWITCH(E2,2026,"Senior",2027,"Junior",2028,"Sophmore",2029,"Freshman","Adult")</f>
        <v>Senior</v>
      </c>
      <c r="G2" s="15">
        <v>39546</v>
      </c>
      <c r="H2" s="17">
        <f>DATEDIF(Table1[[#This Row],[Birth Date]], "2/12/2026", "y")</f>
        <v>17</v>
      </c>
      <c r="I2" s="15" t="s">
        <v>72</v>
      </c>
      <c r="J2" s="1">
        <v>1</v>
      </c>
      <c r="K2" s="1" t="s">
        <v>87</v>
      </c>
      <c r="L2" s="1">
        <v>1</v>
      </c>
      <c r="M2" s="1">
        <v>1</v>
      </c>
      <c r="N2" t="s">
        <v>106</v>
      </c>
      <c r="O2" t="s">
        <v>111</v>
      </c>
      <c r="P2" t="s">
        <v>124</v>
      </c>
      <c r="Q2" s="1">
        <v>1</v>
      </c>
    </row>
    <row r="3" spans="1:17" x14ac:dyDescent="0.2">
      <c r="A3" s="1">
        <v>1</v>
      </c>
      <c r="B3" t="str">
        <f t="shared" si="0"/>
        <v>Baldelli , Nick</v>
      </c>
      <c r="C3" t="s">
        <v>26</v>
      </c>
      <c r="D3" t="s">
        <v>27</v>
      </c>
      <c r="E3" s="11">
        <v>2028</v>
      </c>
      <c r="F3" t="str" cm="1">
        <f t="array" ref="F3">_xlfn.SWITCH(E3,2026,"Senior",2027,"Junior",2028,"Sophmore",2029,"Freshman","Adult")</f>
        <v>Sophmore</v>
      </c>
      <c r="G3" s="15">
        <v>40396</v>
      </c>
      <c r="H3" s="17">
        <f>DATEDIF(Table1[[#This Row],[Birth Date]], "2/12/2026", "y")</f>
        <v>15</v>
      </c>
      <c r="I3" s="15" t="s">
        <v>72</v>
      </c>
      <c r="J3" s="1">
        <v>1</v>
      </c>
      <c r="K3" s="1" t="s">
        <v>87</v>
      </c>
      <c r="L3" s="1">
        <v>1</v>
      </c>
      <c r="M3" s="1">
        <v>1</v>
      </c>
      <c r="N3" t="s">
        <v>106</v>
      </c>
      <c r="O3" t="s">
        <v>116</v>
      </c>
      <c r="P3" t="s">
        <v>121</v>
      </c>
      <c r="Q3" s="1">
        <v>1</v>
      </c>
    </row>
    <row r="4" spans="1:17" x14ac:dyDescent="0.2">
      <c r="A4" s="1">
        <v>1</v>
      </c>
      <c r="B4" t="str">
        <f t="shared" si="0"/>
        <v>Brugnolo , Gabe</v>
      </c>
      <c r="C4" t="s">
        <v>14</v>
      </c>
      <c r="D4" t="s">
        <v>15</v>
      </c>
      <c r="E4" s="11">
        <v>2028</v>
      </c>
      <c r="F4" t="str" cm="1">
        <f t="array" ref="F4">_xlfn.SWITCH(E4,2026,"Senior",2027,"Junior",2028,"Sophmore",2029,"Freshman","Adult")</f>
        <v>Sophmore</v>
      </c>
      <c r="G4" s="15">
        <v>40446</v>
      </c>
      <c r="H4" s="17">
        <f>DATEDIF(Table1[[#This Row],[Birth Date]], "2/12/2026", "y")</f>
        <v>15</v>
      </c>
      <c r="I4" s="15" t="s">
        <v>72</v>
      </c>
      <c r="J4" s="1">
        <v>1</v>
      </c>
      <c r="K4" s="1" t="s">
        <v>92</v>
      </c>
      <c r="L4" s="1">
        <v>1</v>
      </c>
      <c r="M4" s="1">
        <v>1</v>
      </c>
      <c r="N4" t="s">
        <v>119</v>
      </c>
      <c r="O4" t="s">
        <v>141</v>
      </c>
      <c r="P4" t="s">
        <v>148</v>
      </c>
      <c r="Q4" s="1">
        <v>1</v>
      </c>
    </row>
    <row r="5" spans="1:17" x14ac:dyDescent="0.2">
      <c r="A5" s="1">
        <v>1</v>
      </c>
      <c r="B5" t="str">
        <f t="shared" si="0"/>
        <v>Cascone, Chase</v>
      </c>
      <c r="C5" t="s">
        <v>6</v>
      </c>
      <c r="D5" t="s">
        <v>7</v>
      </c>
      <c r="E5" s="11">
        <v>2028</v>
      </c>
      <c r="F5" t="str" cm="1">
        <f t="array" ref="F5">_xlfn.SWITCH(E5,2026,"Senior",2027,"Junior",2028,"Sophmore",2029,"Freshman","Adult")</f>
        <v>Sophmore</v>
      </c>
      <c r="G5" s="15">
        <v>40385</v>
      </c>
      <c r="H5" s="17">
        <f>DATEDIF(Table1[[#This Row],[Birth Date]], "2/12/2026", "y")</f>
        <v>15</v>
      </c>
      <c r="I5" s="15" t="s">
        <v>72</v>
      </c>
      <c r="J5" s="1">
        <v>1</v>
      </c>
      <c r="K5" s="1" t="s">
        <v>94</v>
      </c>
      <c r="L5" s="1">
        <v>1</v>
      </c>
      <c r="M5" s="1">
        <v>1</v>
      </c>
      <c r="N5" t="s">
        <v>119</v>
      </c>
      <c r="O5" t="s">
        <v>143</v>
      </c>
      <c r="P5" t="s">
        <v>150</v>
      </c>
      <c r="Q5" s="1">
        <v>1</v>
      </c>
    </row>
    <row r="6" spans="1:17" x14ac:dyDescent="0.2">
      <c r="A6" s="1">
        <v>1</v>
      </c>
      <c r="B6" t="str">
        <f t="shared" si="0"/>
        <v>Cohelho, Owen</v>
      </c>
      <c r="C6" t="s">
        <v>44</v>
      </c>
      <c r="D6" t="s">
        <v>45</v>
      </c>
      <c r="E6" s="11">
        <v>2026</v>
      </c>
      <c r="F6" t="str" cm="1">
        <f t="array" ref="F6">_xlfn.SWITCH(E6,2026,"Senior",2027,"Junior",2028,"Sophmore",2029,"Freshman","Adult")</f>
        <v>Senior</v>
      </c>
      <c r="G6" s="15">
        <v>39622</v>
      </c>
      <c r="H6" s="17">
        <f>DATEDIF(Table1[[#This Row],[Birth Date]], "2/12/2026", "y")</f>
        <v>17</v>
      </c>
      <c r="I6" s="15" t="s">
        <v>72</v>
      </c>
      <c r="J6" s="1">
        <v>1</v>
      </c>
      <c r="K6" s="1" t="s">
        <v>90</v>
      </c>
      <c r="L6" s="1">
        <v>1</v>
      </c>
      <c r="M6" s="1">
        <v>1</v>
      </c>
      <c r="N6" t="s">
        <v>118</v>
      </c>
      <c r="O6" t="s">
        <v>122</v>
      </c>
      <c r="P6" t="s">
        <v>132</v>
      </c>
      <c r="Q6" s="1">
        <v>1</v>
      </c>
    </row>
    <row r="7" spans="1:17" x14ac:dyDescent="0.2">
      <c r="A7" s="1">
        <v>1</v>
      </c>
      <c r="B7" t="str">
        <f t="shared" si="0"/>
        <v>Daukus, Andrew</v>
      </c>
      <c r="C7" t="s">
        <v>2</v>
      </c>
      <c r="D7" t="s">
        <v>3</v>
      </c>
      <c r="E7" s="11">
        <v>2028</v>
      </c>
      <c r="F7" t="str" cm="1">
        <f t="array" ref="F7">_xlfn.SWITCH(E7,2026,"Senior",2027,"Junior",2028,"Sophmore",2029,"Freshman","Adult")</f>
        <v>Sophmore</v>
      </c>
      <c r="G7" s="15">
        <v>40340</v>
      </c>
      <c r="H7" s="17">
        <f>DATEDIF(Table1[[#This Row],[Birth Date]], "2/12/2026", "y")</f>
        <v>15</v>
      </c>
      <c r="I7" s="15" t="s">
        <v>72</v>
      </c>
      <c r="J7" s="1">
        <v>1</v>
      </c>
      <c r="K7" s="1" t="s">
        <v>94</v>
      </c>
      <c r="L7" s="1">
        <v>1</v>
      </c>
      <c r="M7" s="1">
        <v>1</v>
      </c>
      <c r="N7" t="s">
        <v>119</v>
      </c>
      <c r="O7" t="s">
        <v>140</v>
      </c>
      <c r="P7" t="s">
        <v>147</v>
      </c>
      <c r="Q7" s="1">
        <v>1</v>
      </c>
    </row>
    <row r="8" spans="1:17" x14ac:dyDescent="0.2">
      <c r="A8" s="1">
        <v>1</v>
      </c>
      <c r="B8" t="str">
        <f t="shared" si="0"/>
        <v>DiGiuseppe, Jack</v>
      </c>
      <c r="C8" t="s">
        <v>18</v>
      </c>
      <c r="D8" t="s">
        <v>19</v>
      </c>
      <c r="E8" s="11">
        <v>2027</v>
      </c>
      <c r="F8" t="str" cm="1">
        <f t="array" ref="F8">_xlfn.SWITCH(E8,2026,"Senior",2027,"Junior",2028,"Sophmore",2029,"Freshman","Adult")</f>
        <v>Junior</v>
      </c>
      <c r="G8" s="15">
        <v>39961</v>
      </c>
      <c r="H8" s="17">
        <f>DATEDIF(Table1[[#This Row],[Birth Date]], "2/12/2026", "y")</f>
        <v>16</v>
      </c>
      <c r="I8" s="15" t="s">
        <v>72</v>
      </c>
      <c r="J8" s="1">
        <v>1</v>
      </c>
      <c r="K8" s="1" t="s">
        <v>91</v>
      </c>
      <c r="L8" s="1">
        <v>1</v>
      </c>
      <c r="M8" s="1">
        <v>1</v>
      </c>
      <c r="N8" t="s">
        <v>118</v>
      </c>
      <c r="O8" t="s">
        <v>128</v>
      </c>
      <c r="P8" t="s">
        <v>134</v>
      </c>
      <c r="Q8" s="1">
        <v>1</v>
      </c>
    </row>
    <row r="9" spans="1:17" x14ac:dyDescent="0.2">
      <c r="A9" s="1">
        <v>1</v>
      </c>
      <c r="B9" t="str">
        <f t="shared" si="0"/>
        <v>Evans , Parker</v>
      </c>
      <c r="C9" t="s">
        <v>28</v>
      </c>
      <c r="D9" t="s">
        <v>29</v>
      </c>
      <c r="E9" s="11">
        <v>2028</v>
      </c>
      <c r="F9" t="str" cm="1">
        <f t="array" ref="F9">_xlfn.SWITCH(E9,2026,"Senior",2027,"Junior",2028,"Sophmore",2029,"Freshman","Adult")</f>
        <v>Sophmore</v>
      </c>
      <c r="G9" s="15">
        <v>40397</v>
      </c>
      <c r="H9" s="17">
        <f>DATEDIF(Table1[[#This Row],[Birth Date]], "2/12/2026", "y")</f>
        <v>15</v>
      </c>
      <c r="I9" s="15" t="s">
        <v>72</v>
      </c>
      <c r="J9" s="1">
        <v>1</v>
      </c>
      <c r="K9" s="1" t="s">
        <v>89</v>
      </c>
      <c r="L9" s="1">
        <v>1</v>
      </c>
      <c r="M9" s="1">
        <v>1</v>
      </c>
      <c r="N9" t="s">
        <v>106</v>
      </c>
      <c r="O9" t="s">
        <v>115</v>
      </c>
      <c r="P9" t="s">
        <v>151</v>
      </c>
      <c r="Q9" s="1">
        <v>1</v>
      </c>
    </row>
    <row r="10" spans="1:17" x14ac:dyDescent="0.2">
      <c r="A10" s="1">
        <v>1</v>
      </c>
      <c r="B10" t="str">
        <f t="shared" si="0"/>
        <v>Famiglietti , Declan</v>
      </c>
      <c r="C10" t="s">
        <v>13</v>
      </c>
      <c r="D10" t="s">
        <v>69</v>
      </c>
      <c r="E10" s="11">
        <v>2029</v>
      </c>
      <c r="F10" t="str" cm="1">
        <f t="array" ref="F10">_xlfn.SWITCH(E10,2026,"Senior",2027,"Junior",2028,"Sophmore",2029,"Freshman","Adult")</f>
        <v>Freshman</v>
      </c>
      <c r="G10" s="15">
        <v>40640</v>
      </c>
      <c r="H10" s="18">
        <f>DATEDIF(Table1[[#This Row],[Birth Date]], "2/12/2026", "y")</f>
        <v>14</v>
      </c>
      <c r="I10" s="15" t="s">
        <v>72</v>
      </c>
      <c r="J10" s="35">
        <v>1</v>
      </c>
      <c r="K10" s="1" t="s">
        <v>93</v>
      </c>
      <c r="L10" s="1">
        <v>1</v>
      </c>
      <c r="M10" s="1">
        <v>1</v>
      </c>
      <c r="N10" t="s">
        <v>119</v>
      </c>
      <c r="O10" t="s">
        <v>135</v>
      </c>
      <c r="P10" t="s">
        <v>140</v>
      </c>
      <c r="Q10" s="1">
        <v>1</v>
      </c>
    </row>
    <row r="11" spans="1:17" x14ac:dyDescent="0.2">
      <c r="A11" s="1">
        <v>1</v>
      </c>
      <c r="B11" t="str">
        <f t="shared" si="0"/>
        <v>Flanagan , Cian</v>
      </c>
      <c r="C11" t="s">
        <v>9</v>
      </c>
      <c r="D11" t="s">
        <v>10</v>
      </c>
      <c r="E11" s="11">
        <v>2027</v>
      </c>
      <c r="F11" t="str" cm="1">
        <f t="array" ref="F11">_xlfn.SWITCH(E11,2026,"Senior",2027,"Junior",2028,"Sophmore",2029,"Freshman","Adult")</f>
        <v>Junior</v>
      </c>
      <c r="G11" s="15">
        <v>40129</v>
      </c>
      <c r="H11" s="17">
        <f>DATEDIF(Table1[[#This Row],[Birth Date]], "2/12/2026", "y")</f>
        <v>16</v>
      </c>
      <c r="I11" s="15" t="s">
        <v>72</v>
      </c>
      <c r="J11" s="1">
        <v>1</v>
      </c>
      <c r="K11" s="1" t="s">
        <v>94</v>
      </c>
      <c r="L11" s="1">
        <v>1</v>
      </c>
      <c r="M11" s="1">
        <v>1</v>
      </c>
      <c r="N11" t="s">
        <v>119</v>
      </c>
      <c r="O11" t="s">
        <v>144</v>
      </c>
      <c r="P11" t="s">
        <v>149</v>
      </c>
      <c r="Q11" s="1">
        <v>1</v>
      </c>
    </row>
    <row r="12" spans="1:17" x14ac:dyDescent="0.2">
      <c r="A12" s="1">
        <v>1</v>
      </c>
      <c r="B12" t="str">
        <f t="shared" si="0"/>
        <v>Ghrewati, Zain</v>
      </c>
      <c r="C12" t="s">
        <v>75</v>
      </c>
      <c r="D12" t="s">
        <v>84</v>
      </c>
      <c r="E12" s="11">
        <v>2026</v>
      </c>
      <c r="F12" t="str" cm="1">
        <f t="array" ref="F12">_xlfn.SWITCH(E12,2026,"Senior",2027,"Junior",2028,"Sophmore",2029,"Freshman","Adult")</f>
        <v>Senior</v>
      </c>
      <c r="G12" s="15">
        <v>39492</v>
      </c>
      <c r="H12" s="17">
        <f>DATEDIF(Table1[[#This Row],[Birth Date]], "2/12/2026", "y")</f>
        <v>17</v>
      </c>
      <c r="I12" s="15" t="s">
        <v>72</v>
      </c>
      <c r="J12" s="1">
        <v>1</v>
      </c>
      <c r="K12" s="1" t="s">
        <v>88</v>
      </c>
      <c r="L12" s="1">
        <v>1</v>
      </c>
      <c r="M12" s="1">
        <v>1</v>
      </c>
      <c r="N12" t="s">
        <v>106</v>
      </c>
      <c r="O12" t="s">
        <v>108</v>
      </c>
      <c r="P12" t="s">
        <v>109</v>
      </c>
      <c r="Q12" s="1">
        <v>1</v>
      </c>
    </row>
    <row r="13" spans="1:17" x14ac:dyDescent="0.2">
      <c r="A13" s="1">
        <v>1</v>
      </c>
      <c r="B13" t="str">
        <f t="shared" si="0"/>
        <v>Hedge , Curran</v>
      </c>
      <c r="C13" t="s">
        <v>11</v>
      </c>
      <c r="D13" t="s">
        <v>12</v>
      </c>
      <c r="E13" s="11">
        <v>2026</v>
      </c>
      <c r="F13" t="str" cm="1">
        <f t="array" ref="F13">_xlfn.SWITCH(E13,2026,"Senior",2027,"Junior",2028,"Sophmore",2029,"Freshman","Adult")</f>
        <v>Senior</v>
      </c>
      <c r="G13" s="15">
        <v>39444</v>
      </c>
      <c r="H13" s="17">
        <f>DATEDIF(Table1[[#This Row],[Birth Date]], "2/12/2026", "y")</f>
        <v>18</v>
      </c>
      <c r="I13" s="15" t="s">
        <v>73</v>
      </c>
      <c r="J13" s="1">
        <v>1</v>
      </c>
      <c r="K13" s="1" t="s">
        <v>117</v>
      </c>
      <c r="L13" s="1">
        <v>1</v>
      </c>
      <c r="M13" s="1">
        <v>1</v>
      </c>
      <c r="N13" t="s">
        <v>120</v>
      </c>
      <c r="O13" t="s">
        <v>121</v>
      </c>
      <c r="P13" t="s">
        <v>122</v>
      </c>
      <c r="Q13" s="1">
        <v>1</v>
      </c>
    </row>
    <row r="14" spans="1:17" x14ac:dyDescent="0.2">
      <c r="A14" s="1">
        <v>1</v>
      </c>
      <c r="B14" t="str">
        <f t="shared" si="0"/>
        <v>Hussain, Zahaan</v>
      </c>
      <c r="C14" t="s">
        <v>83</v>
      </c>
      <c r="D14" t="s">
        <v>82</v>
      </c>
      <c r="E14" s="11">
        <v>2026</v>
      </c>
      <c r="F14" t="str" cm="1">
        <f t="array" ref="F14">_xlfn.SWITCH(E14,2026,"Senior",2027,"Junior",2028,"Sophmore",2029,"Freshman","Adult")</f>
        <v>Senior</v>
      </c>
      <c r="G14" s="15">
        <v>39450</v>
      </c>
      <c r="H14" s="17">
        <f>DATEDIF(Table1[[#This Row],[Birth Date]], "2/12/2026", "y")</f>
        <v>18</v>
      </c>
      <c r="I14" s="15" t="s">
        <v>72</v>
      </c>
      <c r="J14" s="1">
        <v>1</v>
      </c>
      <c r="K14" s="1" t="s">
        <v>87</v>
      </c>
      <c r="L14" s="1">
        <v>1</v>
      </c>
      <c r="M14" s="1">
        <v>1</v>
      </c>
      <c r="N14" t="s">
        <v>106</v>
      </c>
      <c r="O14" t="s">
        <v>110</v>
      </c>
      <c r="P14" t="s">
        <v>126</v>
      </c>
      <c r="Q14" s="1">
        <v>1</v>
      </c>
    </row>
    <row r="15" spans="1:17" x14ac:dyDescent="0.2">
      <c r="A15" s="1">
        <v>1</v>
      </c>
      <c r="B15" t="str">
        <f t="shared" si="0"/>
        <v>Keane , Jackson</v>
      </c>
      <c r="C15" t="s">
        <v>20</v>
      </c>
      <c r="D15" t="s">
        <v>21</v>
      </c>
      <c r="E15" s="11">
        <v>2029</v>
      </c>
      <c r="F15" t="str" cm="1">
        <f t="array" ref="F15">_xlfn.SWITCH(E15,2026,"Senior",2027,"Junior",2028,"Sophmore",2029,"Freshman","Adult")</f>
        <v>Freshman</v>
      </c>
      <c r="G15" s="15">
        <v>40639</v>
      </c>
      <c r="H15" s="18">
        <f>DATEDIF(Table1[[#This Row],[Birth Date]], "2/12/2026", "y")</f>
        <v>14</v>
      </c>
      <c r="I15" s="15" t="s">
        <v>72</v>
      </c>
      <c r="J15" s="1">
        <v>1</v>
      </c>
      <c r="K15" s="1" t="s">
        <v>93</v>
      </c>
      <c r="L15" s="1">
        <v>1</v>
      </c>
      <c r="M15" s="1">
        <v>1</v>
      </c>
      <c r="N15" t="s">
        <v>119</v>
      </c>
      <c r="O15" t="s">
        <v>134</v>
      </c>
      <c r="P15" t="s">
        <v>143</v>
      </c>
      <c r="Q15" s="1">
        <v>1</v>
      </c>
    </row>
    <row r="16" spans="1:17" x14ac:dyDescent="0.2">
      <c r="A16" s="1">
        <v>1</v>
      </c>
      <c r="B16" t="str">
        <f t="shared" si="0"/>
        <v>Keane, Hunter</v>
      </c>
      <c r="C16" t="s">
        <v>16</v>
      </c>
      <c r="D16" t="s">
        <v>17</v>
      </c>
      <c r="E16" s="11">
        <v>2028</v>
      </c>
      <c r="F16" t="str" cm="1">
        <f t="array" ref="F16">_xlfn.SWITCH(E16,2026,"Senior",2027,"Junior",2028,"Sophmore",2029,"Freshman","Adult")</f>
        <v>Sophmore</v>
      </c>
      <c r="G16" s="15">
        <v>40086</v>
      </c>
      <c r="H16" s="17">
        <f>DATEDIF(Table1[[#This Row],[Birth Date]], "2/12/2026", "y")</f>
        <v>16</v>
      </c>
      <c r="I16" s="15" t="s">
        <v>72</v>
      </c>
      <c r="J16" s="1">
        <v>1</v>
      </c>
      <c r="K16" s="1" t="s">
        <v>97</v>
      </c>
      <c r="L16" s="1">
        <v>1</v>
      </c>
      <c r="M16" s="1">
        <v>1</v>
      </c>
      <c r="N16" t="s">
        <v>119</v>
      </c>
      <c r="O16" t="s">
        <v>136</v>
      </c>
      <c r="P16" t="s">
        <v>146</v>
      </c>
      <c r="Q16" s="1">
        <v>1</v>
      </c>
    </row>
    <row r="17" spans="1:17" x14ac:dyDescent="0.2">
      <c r="A17" s="1">
        <v>1</v>
      </c>
      <c r="B17" t="str">
        <f t="shared" si="0"/>
        <v>Martin, Thomas</v>
      </c>
      <c r="C17" t="s">
        <v>48</v>
      </c>
      <c r="D17" t="s">
        <v>49</v>
      </c>
      <c r="E17" s="11">
        <v>2028</v>
      </c>
      <c r="F17" t="str" cm="1">
        <f t="array" ref="F17">_xlfn.SWITCH(E17,2026,"Senior",2027,"Junior",2028,"Sophmore",2029,"Freshman","Adult")</f>
        <v>Sophmore</v>
      </c>
      <c r="G17" s="15">
        <v>40197</v>
      </c>
      <c r="H17" s="17">
        <f>DATEDIF(Table1[[#This Row],[Birth Date]], "2/12/2026", "y")</f>
        <v>16</v>
      </c>
      <c r="I17" s="15" t="s">
        <v>72</v>
      </c>
      <c r="J17" s="1">
        <v>1</v>
      </c>
      <c r="K17" s="1" t="s">
        <v>91</v>
      </c>
      <c r="L17" s="1">
        <v>1</v>
      </c>
      <c r="M17" s="1">
        <v>1</v>
      </c>
      <c r="N17" t="s">
        <v>118</v>
      </c>
      <c r="O17" t="s">
        <v>130</v>
      </c>
      <c r="P17" t="s">
        <v>135</v>
      </c>
      <c r="Q17" s="1">
        <v>1</v>
      </c>
    </row>
    <row r="18" spans="1:17" x14ac:dyDescent="0.2">
      <c r="A18" s="1">
        <v>1</v>
      </c>
      <c r="B18" t="str">
        <f t="shared" si="0"/>
        <v>Merritt, Logan</v>
      </c>
      <c r="C18" t="s">
        <v>22</v>
      </c>
      <c r="D18" t="s">
        <v>23</v>
      </c>
      <c r="E18" s="11">
        <v>2026</v>
      </c>
      <c r="F18" t="str" cm="1">
        <f t="array" ref="F18">_xlfn.SWITCH(E18,2026,"Senior",2027,"Junior",2028,"Sophmore",2029,"Freshman","Adult")</f>
        <v>Senior</v>
      </c>
      <c r="G18" s="15">
        <v>39564</v>
      </c>
      <c r="H18" s="17">
        <f>DATEDIF(Table1[[#This Row],[Birth Date]], "2/12/2026", "y")</f>
        <v>17</v>
      </c>
      <c r="I18" s="15" t="s">
        <v>72</v>
      </c>
      <c r="J18" s="1">
        <v>1</v>
      </c>
      <c r="K18" s="1" t="s">
        <v>92</v>
      </c>
      <c r="L18" s="1">
        <v>1</v>
      </c>
      <c r="M18" s="1">
        <v>1</v>
      </c>
      <c r="N18" t="s">
        <v>119</v>
      </c>
      <c r="O18" t="s">
        <v>139</v>
      </c>
      <c r="P18" t="s">
        <v>145</v>
      </c>
      <c r="Q18" s="1">
        <v>1</v>
      </c>
    </row>
    <row r="19" spans="1:17" x14ac:dyDescent="0.2">
      <c r="A19" s="1">
        <v>1</v>
      </c>
      <c r="B19" t="str">
        <f t="shared" si="0"/>
        <v>Pentino , Payton</v>
      </c>
      <c r="C19" t="s">
        <v>30</v>
      </c>
      <c r="D19" t="s">
        <v>31</v>
      </c>
      <c r="E19" s="11">
        <v>2027</v>
      </c>
      <c r="F19" t="str" cm="1">
        <f t="array" ref="F19">_xlfn.SWITCH(E19,2026,"Senior",2027,"Junior",2028,"Sophmore",2029,"Freshman","Adult")</f>
        <v>Junior</v>
      </c>
      <c r="G19" s="15">
        <v>39703</v>
      </c>
      <c r="H19" s="17">
        <f>DATEDIF(Table1[[#This Row],[Birth Date]], "2/12/2026", "y")</f>
        <v>17</v>
      </c>
      <c r="I19" s="15" t="s">
        <v>73</v>
      </c>
      <c r="J19" s="1">
        <v>0</v>
      </c>
      <c r="K19" s="1" t="s">
        <v>86</v>
      </c>
      <c r="L19" s="1">
        <v>1</v>
      </c>
      <c r="M19" s="1">
        <v>0</v>
      </c>
      <c r="N19" t="s">
        <v>118</v>
      </c>
      <c r="O19" t="s">
        <v>124</v>
      </c>
      <c r="P19" t="s">
        <v>131</v>
      </c>
      <c r="Q19" s="1">
        <v>1</v>
      </c>
    </row>
    <row r="20" spans="1:17" x14ac:dyDescent="0.2">
      <c r="A20" s="1">
        <v>1</v>
      </c>
      <c r="B20" t="str">
        <f t="shared" si="0"/>
        <v>Piccirillo, RJ</v>
      </c>
      <c r="C20" t="s">
        <v>33</v>
      </c>
      <c r="D20" t="s">
        <v>42</v>
      </c>
      <c r="E20" s="11">
        <v>2027</v>
      </c>
      <c r="F20" t="str" cm="1">
        <f t="array" ref="F20">_xlfn.SWITCH(E20,2026,"Senior",2027,"Junior",2028,"Sophmore",2029,"Freshman","Adult")</f>
        <v>Junior</v>
      </c>
      <c r="G20" s="15">
        <v>40132</v>
      </c>
      <c r="H20" s="17">
        <f>DATEDIF(Table1[[#This Row],[Birth Date]], "2/12/2026", "y")</f>
        <v>16</v>
      </c>
      <c r="I20" s="15" t="s">
        <v>72</v>
      </c>
      <c r="J20" s="1">
        <v>1</v>
      </c>
      <c r="K20" s="1" t="s">
        <v>93</v>
      </c>
      <c r="L20" s="1">
        <v>1</v>
      </c>
      <c r="M20" s="1">
        <v>1</v>
      </c>
      <c r="N20" t="s">
        <v>119</v>
      </c>
      <c r="O20" t="s">
        <v>142</v>
      </c>
      <c r="P20" t="s">
        <v>144</v>
      </c>
      <c r="Q20" s="1">
        <v>1</v>
      </c>
    </row>
    <row r="21" spans="1:17" x14ac:dyDescent="0.2">
      <c r="A21" s="1">
        <v>1</v>
      </c>
      <c r="B21" t="str">
        <f t="shared" si="0"/>
        <v>Rodgers, Will</v>
      </c>
      <c r="C21" t="s">
        <v>46</v>
      </c>
      <c r="D21" t="s">
        <v>47</v>
      </c>
      <c r="E21" s="11">
        <v>2026</v>
      </c>
      <c r="F21" t="str" cm="1">
        <f t="array" ref="F21">_xlfn.SWITCH(E21,2026,"Senior",2027,"Junior",2028,"Sophmore",2029,"Freshman","Adult")</f>
        <v>Senior</v>
      </c>
      <c r="G21" s="15">
        <v>39748</v>
      </c>
      <c r="H21" s="17">
        <f>DATEDIF(Table1[[#This Row],[Birth Date]], "2/12/2026", "y")</f>
        <v>17</v>
      </c>
      <c r="I21" s="15" t="s">
        <v>72</v>
      </c>
      <c r="J21" s="1">
        <v>1</v>
      </c>
      <c r="K21" s="1" t="s">
        <v>88</v>
      </c>
      <c r="L21" s="1">
        <v>1</v>
      </c>
      <c r="M21" s="1">
        <v>1</v>
      </c>
      <c r="N21" t="s">
        <v>106</v>
      </c>
      <c r="O21" t="s">
        <v>114</v>
      </c>
      <c r="P21" t="s">
        <v>112</v>
      </c>
      <c r="Q21" s="1">
        <v>1</v>
      </c>
    </row>
    <row r="22" spans="1:17" x14ac:dyDescent="0.2">
      <c r="A22" s="1">
        <v>1</v>
      </c>
      <c r="B22" t="str">
        <f t="shared" si="0"/>
        <v>Scacco, Donald</v>
      </c>
      <c r="C22" t="s">
        <v>171</v>
      </c>
      <c r="D22" t="s">
        <v>166</v>
      </c>
      <c r="E22" s="11">
        <v>2027</v>
      </c>
      <c r="F22" t="str" cm="1">
        <f t="array" ref="F22">_xlfn.SWITCH(E22,2026,"Senior",2027,"Junior",2028,"Sophmore",2029,"Freshman","Adult")</f>
        <v>Junior</v>
      </c>
      <c r="G22" s="15">
        <v>39982</v>
      </c>
      <c r="H22" s="17">
        <f>DATEDIF(Table1[[#This Row],[Birth Date]], "2/12/2026", "y")</f>
        <v>16</v>
      </c>
      <c r="I22" s="15" t="s">
        <v>72</v>
      </c>
      <c r="J22" s="1">
        <v>1</v>
      </c>
      <c r="K22" s="1" t="s">
        <v>105</v>
      </c>
      <c r="L22" s="1">
        <v>1</v>
      </c>
      <c r="M22" s="1">
        <v>1</v>
      </c>
      <c r="N22" t="s">
        <v>172</v>
      </c>
      <c r="O22" t="s">
        <v>133</v>
      </c>
      <c r="P22" t="s">
        <v>142</v>
      </c>
      <c r="Q22" s="1">
        <v>1</v>
      </c>
    </row>
    <row r="23" spans="1:17" x14ac:dyDescent="0.2">
      <c r="A23" s="1">
        <v>1</v>
      </c>
      <c r="B23" t="str">
        <f t="shared" si="0"/>
        <v>Silva, Chris</v>
      </c>
      <c r="C23" t="s">
        <v>8</v>
      </c>
      <c r="D23" t="s">
        <v>76</v>
      </c>
      <c r="E23" s="11">
        <v>2027</v>
      </c>
      <c r="F23" t="str" cm="1">
        <f t="array" ref="F23">_xlfn.SWITCH(E23,2026,"Senior",2027,"Junior",2028,"Sophmore",2029,"Freshman","Adult")</f>
        <v>Junior</v>
      </c>
      <c r="G23" s="15">
        <v>39924</v>
      </c>
      <c r="H23" s="17">
        <f>DATEDIF(Table1[[#This Row],[Birth Date]], "2/12/2026", "y")</f>
        <v>16</v>
      </c>
      <c r="I23" s="15" t="s">
        <v>72</v>
      </c>
      <c r="J23" s="1">
        <v>1</v>
      </c>
      <c r="K23" s="1" t="s">
        <v>89</v>
      </c>
      <c r="L23" s="1">
        <v>1</v>
      </c>
      <c r="M23" s="1">
        <v>1</v>
      </c>
      <c r="N23" t="s">
        <v>106</v>
      </c>
      <c r="O23" t="s">
        <v>112</v>
      </c>
      <c r="P23" t="s">
        <v>152</v>
      </c>
      <c r="Q23" s="1">
        <v>1</v>
      </c>
    </row>
    <row r="24" spans="1:17" x14ac:dyDescent="0.2">
      <c r="A24" s="1">
        <v>1</v>
      </c>
      <c r="B24" t="str">
        <f t="shared" si="0"/>
        <v>Silva, Tyler</v>
      </c>
      <c r="C24" t="s">
        <v>34</v>
      </c>
      <c r="D24" t="s">
        <v>76</v>
      </c>
      <c r="E24" s="11">
        <v>2029</v>
      </c>
      <c r="F24" t="str" cm="1">
        <f t="array" ref="F24">_xlfn.SWITCH(E24,2026,"Senior",2027,"Junior",2028,"Sophmore",2029,"Freshman","Adult")</f>
        <v>Freshman</v>
      </c>
      <c r="G24" s="15">
        <v>40521</v>
      </c>
      <c r="H24" s="17">
        <f>DATEDIF(Table1[[#This Row],[Birth Date]], "2/12/2026", "y")</f>
        <v>15</v>
      </c>
      <c r="I24" s="15" t="s">
        <v>72</v>
      </c>
      <c r="J24" s="1">
        <v>1</v>
      </c>
      <c r="K24" s="1" t="s">
        <v>91</v>
      </c>
      <c r="L24" s="1">
        <v>1</v>
      </c>
      <c r="M24" s="1">
        <v>1</v>
      </c>
      <c r="N24" t="s">
        <v>118</v>
      </c>
      <c r="O24" t="s">
        <v>127</v>
      </c>
      <c r="P24" t="s">
        <v>137</v>
      </c>
      <c r="Q24" s="1">
        <v>1</v>
      </c>
    </row>
    <row r="25" spans="1:17" x14ac:dyDescent="0.2">
      <c r="A25" s="1">
        <v>1</v>
      </c>
      <c r="B25" t="str">
        <f t="shared" si="0"/>
        <v>Timaul, Ansh</v>
      </c>
      <c r="C25" t="s">
        <v>4</v>
      </c>
      <c r="D25" t="s">
        <v>5</v>
      </c>
      <c r="E25" s="11">
        <v>2026</v>
      </c>
      <c r="F25" t="str" cm="1">
        <f t="array" ref="F25">_xlfn.SWITCH(E25,2026,"Senior",2027,"Junior",2028,"Sophmore",2029,"Freshman","Adult")</f>
        <v>Senior</v>
      </c>
      <c r="G25" s="15">
        <v>39758</v>
      </c>
      <c r="H25" s="17">
        <f>DATEDIF(Table1[[#This Row],[Birth Date]], "2/12/2026", "y")</f>
        <v>17</v>
      </c>
      <c r="I25" s="15" t="s">
        <v>72</v>
      </c>
      <c r="J25" s="1">
        <v>1</v>
      </c>
      <c r="K25" s="1" t="s">
        <v>90</v>
      </c>
      <c r="L25" s="1">
        <v>1</v>
      </c>
      <c r="M25" s="1">
        <v>1</v>
      </c>
      <c r="N25" t="s">
        <v>118</v>
      </c>
      <c r="O25" t="s">
        <v>129</v>
      </c>
      <c r="P25" t="s">
        <v>125</v>
      </c>
      <c r="Q25" s="1">
        <v>1</v>
      </c>
    </row>
    <row r="26" spans="1:17" x14ac:dyDescent="0.2">
      <c r="A26" s="1">
        <v>1</v>
      </c>
      <c r="B26" t="str">
        <f t="shared" si="0"/>
        <v>Tran, Marc</v>
      </c>
      <c r="C26" t="s">
        <v>81</v>
      </c>
      <c r="D26" t="s">
        <v>80</v>
      </c>
      <c r="E26" s="11">
        <v>2026</v>
      </c>
      <c r="F26" t="str" cm="1">
        <f t="array" ref="F26">_xlfn.SWITCH(E26,2026,"Senior",2027,"Junior",2028,"Sophmore",2029,"Freshman","Adult")</f>
        <v>Senior</v>
      </c>
      <c r="G26" s="15">
        <v>39669</v>
      </c>
      <c r="H26" s="17">
        <f>DATEDIF(Table1[[#This Row],[Birth Date]], "2/12/2026", "y")</f>
        <v>17</v>
      </c>
      <c r="I26" s="15" t="s">
        <v>72</v>
      </c>
      <c r="J26" s="1">
        <v>1</v>
      </c>
      <c r="K26" s="1" t="s">
        <v>89</v>
      </c>
      <c r="L26" s="1">
        <v>1</v>
      </c>
      <c r="M26" s="1">
        <v>1</v>
      </c>
      <c r="N26" t="s">
        <v>106</v>
      </c>
      <c r="O26" t="s">
        <v>109</v>
      </c>
      <c r="P26" t="s">
        <v>153</v>
      </c>
      <c r="Q26" s="1">
        <v>1</v>
      </c>
    </row>
    <row r="27" spans="1:17" x14ac:dyDescent="0.2">
      <c r="A27" s="1">
        <v>1</v>
      </c>
      <c r="B27" t="str">
        <f t="shared" si="0"/>
        <v>Weitekamp, Kevin</v>
      </c>
      <c r="C27" t="s">
        <v>70</v>
      </c>
      <c r="D27" t="s">
        <v>71</v>
      </c>
      <c r="E27" s="11">
        <v>2027</v>
      </c>
      <c r="F27" t="str" cm="1">
        <f t="array" ref="F27">_xlfn.SWITCH(E27,2026,"Senior",2027,"Junior",2028,"Sophmore",2029,"Freshman","Adult")</f>
        <v>Junior</v>
      </c>
      <c r="G27" s="15">
        <v>39896</v>
      </c>
      <c r="H27" s="17">
        <f>DATEDIF(Table1[[#This Row],[Birth Date]], "2/12/2026", "y")</f>
        <v>16</v>
      </c>
      <c r="I27" s="15" t="s">
        <v>73</v>
      </c>
      <c r="J27" s="1">
        <v>1</v>
      </c>
      <c r="K27" s="1" t="s">
        <v>86</v>
      </c>
      <c r="L27" s="1">
        <v>1</v>
      </c>
      <c r="M27" s="1">
        <v>1</v>
      </c>
      <c r="N27" t="s">
        <v>118</v>
      </c>
      <c r="O27" t="s">
        <v>126</v>
      </c>
      <c r="P27" t="s">
        <v>129</v>
      </c>
      <c r="Q27" s="1">
        <v>1</v>
      </c>
    </row>
    <row r="28" spans="1:17" x14ac:dyDescent="0.2">
      <c r="A28" s="1">
        <v>1</v>
      </c>
      <c r="B28" t="str">
        <f t="shared" si="0"/>
        <v>Welch, Aiden</v>
      </c>
      <c r="C28" t="s">
        <v>0</v>
      </c>
      <c r="D28" t="s">
        <v>1</v>
      </c>
      <c r="E28" s="11">
        <v>2027</v>
      </c>
      <c r="F28" t="str" cm="1">
        <f t="array" ref="F28">_xlfn.SWITCH(E28,2026,"Senior",2027,"Junior",2028,"Sophmore",2029,"Freshman","Adult")</f>
        <v>Junior</v>
      </c>
      <c r="G28" s="15">
        <v>39921</v>
      </c>
      <c r="H28" s="17">
        <f>DATEDIF(Table1[[#This Row],[Birth Date]], "2/12/2026", "y")</f>
        <v>16</v>
      </c>
      <c r="I28" s="15" t="s">
        <v>72</v>
      </c>
      <c r="J28" s="1">
        <v>1</v>
      </c>
      <c r="K28" s="1" t="s">
        <v>88</v>
      </c>
      <c r="L28" s="1">
        <v>1</v>
      </c>
      <c r="M28" s="1">
        <v>1</v>
      </c>
      <c r="N28" t="s">
        <v>106</v>
      </c>
      <c r="O28" t="s">
        <v>113</v>
      </c>
      <c r="P28" t="s">
        <v>115</v>
      </c>
      <c r="Q28" s="1">
        <v>1</v>
      </c>
    </row>
    <row r="29" spans="1:17" x14ac:dyDescent="0.2">
      <c r="A29" s="1">
        <v>1</v>
      </c>
      <c r="B29" t="str">
        <f t="shared" si="0"/>
        <v>Welch, Dylan</v>
      </c>
      <c r="C29" t="s">
        <v>53</v>
      </c>
      <c r="D29" t="s">
        <v>1</v>
      </c>
      <c r="E29" s="11">
        <v>2028</v>
      </c>
      <c r="F29" t="str" cm="1">
        <f t="array" ref="F29">_xlfn.SWITCH(E29,2026,"Senior",2027,"Junior",2028,"Sophmore",2029,"Freshman","Adult")</f>
        <v>Sophmore</v>
      </c>
      <c r="G29" s="15">
        <v>40381</v>
      </c>
      <c r="H29" s="17">
        <f>DATEDIF(Table1[[#This Row],[Birth Date]], "2/12/2026", "y")</f>
        <v>15</v>
      </c>
      <c r="I29" s="15" t="s">
        <v>72</v>
      </c>
      <c r="J29" s="1">
        <v>1</v>
      </c>
      <c r="K29" s="1" t="s">
        <v>90</v>
      </c>
      <c r="L29" s="1">
        <v>1</v>
      </c>
      <c r="M29" s="1">
        <v>1</v>
      </c>
      <c r="N29" t="s">
        <v>118</v>
      </c>
      <c r="O29" t="s">
        <v>131</v>
      </c>
      <c r="P29" t="s">
        <v>136</v>
      </c>
      <c r="Q29" s="1">
        <v>1</v>
      </c>
    </row>
    <row r="30" spans="1:17" x14ac:dyDescent="0.2">
      <c r="A30" s="1">
        <v>1</v>
      </c>
      <c r="B30" t="str">
        <f t="shared" si="0"/>
        <v>White, Peter</v>
      </c>
      <c r="C30" t="s">
        <v>32</v>
      </c>
      <c r="D30" t="s">
        <v>77</v>
      </c>
      <c r="E30" s="11">
        <v>2027</v>
      </c>
      <c r="F30" t="str" cm="1">
        <f t="array" ref="F30">_xlfn.SWITCH(E30,2026,"Senior",2027,"Junior",2028,"Sophmore",2029,"Freshman","Adult")</f>
        <v>Junior</v>
      </c>
      <c r="G30" s="15">
        <v>40051</v>
      </c>
      <c r="H30" s="17">
        <f>DATEDIF(Table1[[#This Row],[Birth Date]], "2/12/2026", "y")</f>
        <v>16</v>
      </c>
      <c r="I30" s="15" t="s">
        <v>72</v>
      </c>
      <c r="J30" s="1">
        <v>1</v>
      </c>
      <c r="K30" s="1" t="s">
        <v>97</v>
      </c>
      <c r="L30" s="1">
        <v>1</v>
      </c>
      <c r="M30" s="1">
        <v>1</v>
      </c>
      <c r="N30" t="s">
        <v>118</v>
      </c>
      <c r="O30" t="s">
        <v>125</v>
      </c>
      <c r="P30" t="s">
        <v>133</v>
      </c>
      <c r="Q30" s="1">
        <v>1</v>
      </c>
    </row>
    <row r="31" spans="1:17" x14ac:dyDescent="0.2">
      <c r="A31" s="1">
        <v>0</v>
      </c>
      <c r="B31" t="str">
        <f t="shared" ref="B31:B34" si="1">CONCATENATE(D31,", ",C31)</f>
        <v>Albino, James</v>
      </c>
      <c r="C31" t="s">
        <v>74</v>
      </c>
      <c r="D31" t="s">
        <v>25</v>
      </c>
      <c r="E31" s="11" t="s">
        <v>98</v>
      </c>
      <c r="F31" t="str" cm="1">
        <f t="array" ref="F31">_xlfn.SWITCH(E31,2026,"Senior",2027,"Junior",2028,"Sophmore",2029,"Freshman","Adult")</f>
        <v>Adult</v>
      </c>
      <c r="G31" s="15">
        <v>24953</v>
      </c>
      <c r="H31" s="17">
        <f>DATEDIF(Table1[[#This Row],[Birth Date]], "2/12/2026", "y")</f>
        <v>57</v>
      </c>
      <c r="I31" s="15" t="s">
        <v>101</v>
      </c>
      <c r="J31" s="1" t="s">
        <v>86</v>
      </c>
      <c r="K31" s="1" t="s">
        <v>105</v>
      </c>
      <c r="L31" s="1">
        <v>1</v>
      </c>
      <c r="M31" s="1" t="s">
        <v>86</v>
      </c>
      <c r="N31" t="s">
        <v>106</v>
      </c>
      <c r="O31" t="s">
        <v>107</v>
      </c>
      <c r="P31" t="s">
        <v>113</v>
      </c>
      <c r="Q31" s="1"/>
    </row>
    <row r="32" spans="1:17" x14ac:dyDescent="0.2">
      <c r="A32" s="1">
        <v>0</v>
      </c>
      <c r="B32" t="str">
        <f t="shared" si="1"/>
        <v>Cook, Cameron</v>
      </c>
      <c r="C32" t="s">
        <v>169</v>
      </c>
      <c r="D32" t="s">
        <v>170</v>
      </c>
      <c r="E32" s="11" t="s">
        <v>55</v>
      </c>
      <c r="F32" t="str" cm="1">
        <f t="array" ref="F32">_xlfn.SWITCH(E32,2026,"Senior",2027,"Junior",2028,"Sophmore",2029,"Freshman","Adult")</f>
        <v>Adult</v>
      </c>
      <c r="G32" s="15">
        <v>34438</v>
      </c>
      <c r="H32" s="17">
        <f>DATEDIF(Table1[[#This Row],[Birth Date]], "2/12/2026", "y")</f>
        <v>31</v>
      </c>
      <c r="I32" s="15" t="s">
        <v>101</v>
      </c>
      <c r="J32" s="1" t="s">
        <v>86</v>
      </c>
      <c r="K32" s="1" t="s">
        <v>105</v>
      </c>
      <c r="L32" s="1">
        <v>1</v>
      </c>
      <c r="M32" s="1" t="s">
        <v>86</v>
      </c>
      <c r="N32" t="s">
        <v>172</v>
      </c>
      <c r="O32" t="s">
        <v>173</v>
      </c>
      <c r="P32" t="s">
        <v>111</v>
      </c>
      <c r="Q32" s="1"/>
    </row>
    <row r="33" spans="1:17" x14ac:dyDescent="0.2">
      <c r="A33" s="1">
        <v>0</v>
      </c>
      <c r="B33" t="str">
        <f t="shared" si="1"/>
        <v>Famiglietti , Mike</v>
      </c>
      <c r="C33" t="s">
        <v>99</v>
      </c>
      <c r="D33" t="s">
        <v>69</v>
      </c>
      <c r="E33" s="11" t="s">
        <v>55</v>
      </c>
      <c r="F33" t="str" cm="1">
        <f t="array" ref="F33">_xlfn.SWITCH(E33,2026,"Senior",2027,"Junior",2028,"Sophmore",2029,"Freshman","Adult")</f>
        <v>Adult</v>
      </c>
      <c r="G33" s="15">
        <v>28645</v>
      </c>
      <c r="H33" s="17">
        <f>DATEDIF(Table1[[#This Row],[Birth Date]], "2/12/2026", "y")</f>
        <v>47</v>
      </c>
      <c r="I33" s="15" t="s">
        <v>101</v>
      </c>
      <c r="J33" s="1" t="s">
        <v>86</v>
      </c>
      <c r="K33" s="1" t="s">
        <v>105</v>
      </c>
      <c r="L33" s="1">
        <v>1</v>
      </c>
      <c r="M33" s="1" t="s">
        <v>86</v>
      </c>
      <c r="N33" t="s">
        <v>119</v>
      </c>
      <c r="O33" t="s">
        <v>138</v>
      </c>
      <c r="P33" t="s">
        <v>110</v>
      </c>
      <c r="Q33" s="1"/>
    </row>
    <row r="34" spans="1:17" x14ac:dyDescent="0.2">
      <c r="A34" s="1">
        <v>0</v>
      </c>
      <c r="B34" t="str">
        <f t="shared" si="1"/>
        <v>Pentino , Francis</v>
      </c>
      <c r="C34" t="s">
        <v>100</v>
      </c>
      <c r="D34" t="s">
        <v>31</v>
      </c>
      <c r="E34" s="11" t="s">
        <v>55</v>
      </c>
      <c r="F34" t="str" cm="1">
        <f t="array" ref="F34">_xlfn.SWITCH(E34,2026,"Senior",2027,"Junior",2028,"Sophmore",2029,"Freshman","Adult")</f>
        <v>Adult</v>
      </c>
      <c r="G34" s="15">
        <v>25814</v>
      </c>
      <c r="H34" s="17">
        <f>DATEDIF(Table1[[#This Row],[Birth Date]], "2/12/2026", "y")</f>
        <v>55</v>
      </c>
      <c r="I34" s="15" t="s">
        <v>101</v>
      </c>
      <c r="J34" s="1" t="s">
        <v>86</v>
      </c>
      <c r="K34" s="1" t="s">
        <v>105</v>
      </c>
      <c r="L34" s="1">
        <v>1</v>
      </c>
      <c r="M34" s="1" t="s">
        <v>86</v>
      </c>
      <c r="N34" t="s">
        <v>118</v>
      </c>
      <c r="O34" t="s">
        <v>123</v>
      </c>
      <c r="P34" t="s">
        <v>108</v>
      </c>
      <c r="Q34" s="1"/>
    </row>
    <row r="35" spans="1:17" x14ac:dyDescent="0.2">
      <c r="A35" s="1">
        <f>SUM(Table1[Student Counter])</f>
        <v>29</v>
      </c>
      <c r="B35">
        <f>SUBTOTAL(103,Table1[Full Name])</f>
        <v>33</v>
      </c>
      <c r="G35" s="1">
        <f>COUNT(Table1[Birth Date])</f>
        <v>33</v>
      </c>
      <c r="H35" s="1"/>
      <c r="I35" s="1"/>
      <c r="J35" s="1">
        <f>SUM(Table1[First Installment])</f>
        <v>28</v>
      </c>
      <c r="K35" s="1"/>
      <c r="L35" s="1"/>
      <c r="M35" s="1">
        <f>SUBTOTAL(109,Table1[Second Installment])</f>
        <v>28</v>
      </c>
      <c r="N35" s="1"/>
      <c r="O35" s="1"/>
      <c r="P35" s="1"/>
      <c r="Q35" s="1"/>
    </row>
    <row r="36" spans="1:17" x14ac:dyDescent="0.2">
      <c r="F36" s="2">
        <f>Table1[[#Totals],[Birth Date]]/Table1[[#Totals],[Full Name]]</f>
        <v>1</v>
      </c>
      <c r="G36" s="2"/>
      <c r="H36" s="2"/>
      <c r="I36" s="2">
        <f>Table1[[#Totals],[First Installment]]/Table1[[#Totals],[Student Counter]]</f>
        <v>0.96551724137931039</v>
      </c>
      <c r="J36" s="2"/>
      <c r="K36" s="2">
        <f>Table1[[#Totals],[Second Installment]]/Table1[[#Totals],[Full Name]]</f>
        <v>0.84848484848484851</v>
      </c>
      <c r="L36" s="2"/>
      <c r="M36" s="2">
        <f>Table1[[#Totals],[Second Installment]]/Table1[[#Totals],[Student Counter]]</f>
        <v>0.96551724137931039</v>
      </c>
    </row>
    <row r="37" spans="1:17" x14ac:dyDescent="0.2">
      <c r="F37" s="15"/>
      <c r="G37" s="15"/>
      <c r="H37" s="15"/>
      <c r="I37" s="16">
        <f>Table1[[#Totals],[First Installment]]*750</f>
        <v>21000</v>
      </c>
      <c r="J37" s="16"/>
      <c r="M37" s="16">
        <f>Table1[[#Totals],[Second Installment]]*1115</f>
        <v>31220</v>
      </c>
    </row>
    <row r="41" spans="1:17" x14ac:dyDescent="0.2">
      <c r="A41" s="3" t="s">
        <v>50</v>
      </c>
      <c r="B41" t="s">
        <v>52</v>
      </c>
    </row>
    <row r="42" spans="1:17" x14ac:dyDescent="0.2">
      <c r="A42" s="4">
        <v>2026</v>
      </c>
      <c r="B42">
        <v>9</v>
      </c>
      <c r="K42" s="3" t="s">
        <v>50</v>
      </c>
      <c r="L42" t="s">
        <v>96</v>
      </c>
    </row>
    <row r="43" spans="1:17" x14ac:dyDescent="0.2">
      <c r="A43" s="4">
        <v>2027</v>
      </c>
      <c r="B43">
        <v>9</v>
      </c>
      <c r="K43" s="4" t="s">
        <v>86</v>
      </c>
      <c r="L43">
        <v>2</v>
      </c>
    </row>
    <row r="44" spans="1:17" x14ac:dyDescent="0.2">
      <c r="A44" s="4">
        <v>2028</v>
      </c>
      <c r="B44">
        <v>8</v>
      </c>
      <c r="K44" s="4" t="s">
        <v>87</v>
      </c>
      <c r="L44">
        <v>3</v>
      </c>
    </row>
    <row r="45" spans="1:17" x14ac:dyDescent="0.2">
      <c r="A45" s="4">
        <v>2029</v>
      </c>
      <c r="B45">
        <v>3</v>
      </c>
      <c r="K45" s="4" t="s">
        <v>88</v>
      </c>
      <c r="L45">
        <v>3</v>
      </c>
    </row>
    <row r="46" spans="1:17" x14ac:dyDescent="0.2">
      <c r="A46" s="4" t="s">
        <v>55</v>
      </c>
      <c r="B46">
        <v>2</v>
      </c>
      <c r="K46" s="4" t="s">
        <v>89</v>
      </c>
      <c r="L46">
        <v>3</v>
      </c>
    </row>
    <row r="47" spans="1:17" x14ac:dyDescent="0.2">
      <c r="A47" s="4" t="s">
        <v>98</v>
      </c>
      <c r="B47">
        <v>1</v>
      </c>
      <c r="K47" s="4" t="s">
        <v>90</v>
      </c>
      <c r="L47">
        <v>3</v>
      </c>
    </row>
    <row r="48" spans="1:17" x14ac:dyDescent="0.2">
      <c r="A48" s="4" t="s">
        <v>51</v>
      </c>
      <c r="B48">
        <v>32</v>
      </c>
      <c r="K48" s="4" t="s">
        <v>91</v>
      </c>
      <c r="L48">
        <v>3</v>
      </c>
    </row>
    <row r="49" spans="11:12" x14ac:dyDescent="0.2">
      <c r="K49" s="4" t="s">
        <v>93</v>
      </c>
      <c r="L49">
        <v>3</v>
      </c>
    </row>
    <row r="50" spans="11:12" x14ac:dyDescent="0.2">
      <c r="K50" s="4" t="s">
        <v>92</v>
      </c>
      <c r="L50">
        <v>2</v>
      </c>
    </row>
    <row r="51" spans="11:12" x14ac:dyDescent="0.2">
      <c r="K51" s="4" t="s">
        <v>94</v>
      </c>
      <c r="L51">
        <v>3</v>
      </c>
    </row>
    <row r="52" spans="11:12" x14ac:dyDescent="0.2">
      <c r="K52" s="4" t="s">
        <v>95</v>
      </c>
      <c r="L52">
        <v>1</v>
      </c>
    </row>
    <row r="53" spans="11:12" x14ac:dyDescent="0.2">
      <c r="K53" s="4" t="s">
        <v>97</v>
      </c>
      <c r="L53">
        <v>2</v>
      </c>
    </row>
    <row r="54" spans="11:12" x14ac:dyDescent="0.2">
      <c r="K54" s="4" t="s">
        <v>117</v>
      </c>
      <c r="L54">
        <v>1</v>
      </c>
    </row>
    <row r="55" spans="11:12" x14ac:dyDescent="0.2">
      <c r="K55" s="4" t="s">
        <v>105</v>
      </c>
      <c r="L55">
        <v>3</v>
      </c>
    </row>
    <row r="56" spans="11:12" x14ac:dyDescent="0.2">
      <c r="K56" s="4" t="s">
        <v>51</v>
      </c>
      <c r="L56">
        <v>32</v>
      </c>
    </row>
  </sheetData>
  <sortState xmlns:xlrd2="http://schemas.microsoft.com/office/spreadsheetml/2017/richdata2" ref="B2:F29">
    <sortCondition ref="B2:B29"/>
  </sortState>
  <phoneticPr fontId="2" type="noConversion"/>
  <conditionalFormatting sqref="M1:M18 M38:M1048576 M20:M35">
    <cfRule type="colorScale" priority="1">
      <colorScale>
        <cfvo type="num" val="0"/>
        <cfvo type="num" val="1"/>
        <color rgb="FFFF0000"/>
        <color theme="0"/>
      </colorScale>
    </cfRule>
  </conditionalFormatting>
  <pageMargins left="0.7" right="0.7" top="0.75" bottom="0.75" header="0.3" footer="0.3"/>
  <pageSetup orientation="portrait" horizontalDpi="0" verticalDpi="0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7E57-0244-FB41-BC0A-995F6148089C}">
  <dimension ref="A2:T38"/>
  <sheetViews>
    <sheetView topLeftCell="A2" workbookViewId="0">
      <selection activeCell="P21" sqref="P21"/>
    </sheetView>
  </sheetViews>
  <sheetFormatPr baseColWidth="10" defaultRowHeight="16" x14ac:dyDescent="0.2"/>
  <cols>
    <col min="2" max="2" width="15.1640625" bestFit="1" customWidth="1"/>
    <col min="3" max="3" width="10.5" bestFit="1" customWidth="1"/>
    <col min="4" max="4" width="13.6640625" bestFit="1" customWidth="1"/>
    <col min="5" max="5" width="15.1640625" bestFit="1" customWidth="1"/>
    <col min="6" max="6" width="15.1640625" customWidth="1"/>
    <col min="7" max="7" width="15.6640625" customWidth="1"/>
    <col min="8" max="8" width="13.6640625" bestFit="1" customWidth="1"/>
    <col min="18" max="18" width="19.5" bestFit="1" customWidth="1"/>
    <col min="19" max="19" width="39.83203125" customWidth="1"/>
    <col min="20" max="20" width="33.6640625" bestFit="1" customWidth="1"/>
  </cols>
  <sheetData>
    <row r="2" spans="1:20" ht="34" x14ac:dyDescent="0.4">
      <c r="A2" s="44" t="s">
        <v>165</v>
      </c>
      <c r="B2" s="44"/>
      <c r="C2" s="44"/>
      <c r="D2" s="44"/>
      <c r="E2" s="44"/>
      <c r="F2" s="44"/>
      <c r="G2" s="44"/>
      <c r="H2" s="44"/>
      <c r="O2" s="43" t="s">
        <v>158</v>
      </c>
      <c r="P2" s="43"/>
      <c r="Q2" s="43"/>
      <c r="R2" s="43"/>
      <c r="S2" s="43"/>
      <c r="T2" s="43"/>
    </row>
    <row r="3" spans="1:20" ht="75" x14ac:dyDescent="0.2">
      <c r="A3" s="6"/>
      <c r="B3" s="7" t="s">
        <v>57</v>
      </c>
      <c r="C3" s="8" t="s">
        <v>58</v>
      </c>
      <c r="D3" s="8" t="s">
        <v>65</v>
      </c>
      <c r="E3" s="8" t="s">
        <v>67</v>
      </c>
      <c r="F3" s="8" t="s">
        <v>68</v>
      </c>
      <c r="G3" s="8" t="s">
        <v>66</v>
      </c>
      <c r="H3" s="9"/>
      <c r="O3" s="19" t="s">
        <v>159</v>
      </c>
      <c r="P3" s="19" t="s">
        <v>165</v>
      </c>
      <c r="Q3" s="19" t="s">
        <v>201</v>
      </c>
      <c r="R3" s="19" t="s">
        <v>160</v>
      </c>
      <c r="S3" s="19" t="s">
        <v>161</v>
      </c>
    </row>
    <row r="4" spans="1:20" ht="24" x14ac:dyDescent="0.3">
      <c r="A4" s="5" t="s">
        <v>59</v>
      </c>
      <c r="B4" s="10">
        <v>14959.15</v>
      </c>
      <c r="C4" s="12">
        <v>31</v>
      </c>
      <c r="D4" s="10">
        <v>482.55</v>
      </c>
      <c r="E4" s="10">
        <f>5562.1+5537.1+5527.1+551.99+1305.96</f>
        <v>18484.250000000004</v>
      </c>
      <c r="F4" s="10">
        <f t="shared" ref="F4:F10" si="0">E4-B4</f>
        <v>3525.100000000004</v>
      </c>
      <c r="G4" s="13">
        <v>28</v>
      </c>
      <c r="H4" s="10">
        <f t="shared" ref="H4:H10" si="1">E4/G4</f>
        <v>660.15178571428589</v>
      </c>
      <c r="I4" s="9"/>
      <c r="J4" s="9"/>
      <c r="N4">
        <v>50</v>
      </c>
      <c r="O4" s="20">
        <v>45700</v>
      </c>
      <c r="P4" s="21">
        <v>50</v>
      </c>
      <c r="Q4" s="21">
        <v>50</v>
      </c>
      <c r="R4" s="22" t="s">
        <v>162</v>
      </c>
      <c r="S4" s="23"/>
    </row>
    <row r="5" spans="1:20" ht="24" x14ac:dyDescent="0.3">
      <c r="A5" s="5" t="s">
        <v>60</v>
      </c>
      <c r="B5" s="10">
        <v>19799.34</v>
      </c>
      <c r="C5" s="12">
        <v>30</v>
      </c>
      <c r="D5" s="10">
        <v>659.98</v>
      </c>
      <c r="E5" s="10">
        <f>D33</f>
        <v>20445</v>
      </c>
      <c r="F5" s="10">
        <f t="shared" si="0"/>
        <v>645.65999999999985</v>
      </c>
      <c r="G5" s="13">
        <f t="shared" ref="G5:G10" si="2">$G$4</f>
        <v>28</v>
      </c>
      <c r="H5" s="10">
        <f t="shared" si="1"/>
        <v>730.17857142857144</v>
      </c>
      <c r="I5" s="9"/>
      <c r="J5" s="9"/>
      <c r="K5">
        <v>4670</v>
      </c>
      <c r="L5">
        <f>K5*3</f>
        <v>14010</v>
      </c>
      <c r="N5">
        <v>50</v>
      </c>
      <c r="O5" s="20">
        <v>45701</v>
      </c>
      <c r="P5" s="21">
        <v>50</v>
      </c>
      <c r="Q5" s="21">
        <v>50</v>
      </c>
      <c r="R5" s="22" t="s">
        <v>162</v>
      </c>
      <c r="S5" s="23"/>
    </row>
    <row r="6" spans="1:20" ht="24" x14ac:dyDescent="0.3">
      <c r="A6" s="5" t="s">
        <v>61</v>
      </c>
      <c r="B6" s="10">
        <v>1250</v>
      </c>
      <c r="C6" s="12">
        <v>31</v>
      </c>
      <c r="D6" s="10">
        <v>40.32</v>
      </c>
      <c r="E6" s="10">
        <f>1365+200</f>
        <v>1565</v>
      </c>
      <c r="F6" s="10">
        <f t="shared" si="0"/>
        <v>315</v>
      </c>
      <c r="G6" s="13">
        <f t="shared" si="2"/>
        <v>28</v>
      </c>
      <c r="H6" s="10">
        <f t="shared" si="1"/>
        <v>55.892857142857146</v>
      </c>
      <c r="I6" s="9"/>
      <c r="J6" s="9"/>
      <c r="N6">
        <v>50</v>
      </c>
      <c r="O6" s="20">
        <v>45702</v>
      </c>
      <c r="P6" s="21">
        <v>50</v>
      </c>
      <c r="Q6" s="21">
        <v>25</v>
      </c>
      <c r="R6" s="22" t="s">
        <v>164</v>
      </c>
      <c r="S6" s="23" t="s">
        <v>163</v>
      </c>
    </row>
    <row r="7" spans="1:20" ht="24" x14ac:dyDescent="0.3">
      <c r="A7" s="5" t="s">
        <v>62</v>
      </c>
      <c r="B7" s="10">
        <v>3360</v>
      </c>
      <c r="C7" s="12">
        <v>31</v>
      </c>
      <c r="D7" s="10">
        <v>108.39</v>
      </c>
      <c r="E7" s="10">
        <v>1950.8</v>
      </c>
      <c r="F7" s="10">
        <f t="shared" si="0"/>
        <v>-1409.2</v>
      </c>
      <c r="G7" s="13">
        <f t="shared" si="2"/>
        <v>28</v>
      </c>
      <c r="H7" s="10">
        <f t="shared" si="1"/>
        <v>69.671428571428564</v>
      </c>
      <c r="I7" s="9"/>
      <c r="J7" s="9"/>
      <c r="N7">
        <v>25</v>
      </c>
      <c r="O7" s="20">
        <v>45703</v>
      </c>
      <c r="P7" s="38">
        <v>50</v>
      </c>
      <c r="Q7" s="38">
        <v>50</v>
      </c>
      <c r="R7" s="22" t="s">
        <v>162</v>
      </c>
    </row>
    <row r="8" spans="1:20" ht="24" x14ac:dyDescent="0.3">
      <c r="A8" s="5" t="s">
        <v>63</v>
      </c>
      <c r="B8" s="10">
        <v>9300</v>
      </c>
      <c r="C8" s="12">
        <v>31</v>
      </c>
      <c r="D8" s="10">
        <v>300</v>
      </c>
      <c r="E8" s="10">
        <f>P12*G4</f>
        <v>7700</v>
      </c>
      <c r="F8" s="10">
        <f t="shared" si="0"/>
        <v>-1600</v>
      </c>
      <c r="G8" s="13">
        <f t="shared" si="2"/>
        <v>28</v>
      </c>
      <c r="H8" s="10">
        <f t="shared" si="1"/>
        <v>275</v>
      </c>
      <c r="I8" s="9"/>
      <c r="J8" s="9"/>
      <c r="N8">
        <v>50</v>
      </c>
      <c r="O8" s="20">
        <v>45704</v>
      </c>
      <c r="P8" s="21">
        <v>50</v>
      </c>
      <c r="Q8" s="21">
        <v>25</v>
      </c>
      <c r="R8" s="22" t="s">
        <v>164</v>
      </c>
      <c r="S8" s="23" t="s">
        <v>200</v>
      </c>
    </row>
    <row r="9" spans="1:20" ht="24" x14ac:dyDescent="0.3">
      <c r="A9" s="5" t="s">
        <v>182</v>
      </c>
      <c r="B9" s="10">
        <v>0</v>
      </c>
      <c r="C9" s="12"/>
      <c r="D9" s="10">
        <v>0</v>
      </c>
      <c r="E9" s="10">
        <v>1450</v>
      </c>
      <c r="F9" s="10">
        <f t="shared" si="0"/>
        <v>1450</v>
      </c>
      <c r="G9" s="13">
        <f t="shared" si="2"/>
        <v>28</v>
      </c>
      <c r="H9" s="10">
        <f t="shared" si="1"/>
        <v>51.785714285714285</v>
      </c>
      <c r="I9" s="9"/>
      <c r="J9" s="9"/>
      <c r="O9" s="20">
        <v>45705</v>
      </c>
      <c r="P9" s="21">
        <v>25</v>
      </c>
      <c r="Q9" s="21">
        <v>25</v>
      </c>
      <c r="R9" s="22" t="s">
        <v>199</v>
      </c>
      <c r="S9" s="23" t="s">
        <v>195</v>
      </c>
    </row>
    <row r="10" spans="1:20" ht="24" x14ac:dyDescent="0.3">
      <c r="A10" s="5" t="s">
        <v>64</v>
      </c>
      <c r="B10" s="10">
        <v>5040.6000000000004</v>
      </c>
      <c r="C10" s="12">
        <v>31</v>
      </c>
      <c r="D10" s="10">
        <v>162.6</v>
      </c>
      <c r="E10" s="10">
        <v>0</v>
      </c>
      <c r="F10" s="10">
        <f t="shared" si="0"/>
        <v>-5040.6000000000004</v>
      </c>
      <c r="G10" s="13">
        <f t="shared" si="2"/>
        <v>28</v>
      </c>
      <c r="H10" s="10">
        <f t="shared" si="1"/>
        <v>0</v>
      </c>
      <c r="I10" s="9"/>
      <c r="J10" s="9"/>
      <c r="N10">
        <v>50</v>
      </c>
      <c r="P10" s="24">
        <f>SUM(P4:P9)</f>
        <v>275</v>
      </c>
      <c r="Q10" s="24">
        <f>SUM(Q4:Q9)</f>
        <v>225</v>
      </c>
      <c r="R10" s="24">
        <v>0</v>
      </c>
    </row>
    <row r="11" spans="1:20" ht="24" x14ac:dyDescent="0.3">
      <c r="A11" s="5"/>
      <c r="B11" s="10"/>
      <c r="C11" s="12"/>
      <c r="D11" s="12"/>
      <c r="E11" s="12"/>
      <c r="F11" s="12"/>
      <c r="G11" s="13"/>
      <c r="H11" s="9"/>
      <c r="I11" s="9"/>
      <c r="J11" s="9"/>
      <c r="N11">
        <v>25</v>
      </c>
    </row>
    <row r="12" spans="1:20" ht="24" x14ac:dyDescent="0.3">
      <c r="A12" s="5"/>
      <c r="B12" s="10"/>
      <c r="C12" s="12">
        <v>2025</v>
      </c>
      <c r="D12" s="10">
        <v>1753.84</v>
      </c>
      <c r="E12" s="10">
        <f>SUM(E4:E10)</f>
        <v>51595.05</v>
      </c>
      <c r="F12" s="10"/>
      <c r="G12" s="12">
        <v>2026</v>
      </c>
      <c r="H12" s="10">
        <f>SUM(H4:H10)</f>
        <v>1842.6803571428572</v>
      </c>
      <c r="I12" s="9"/>
      <c r="J12" s="9"/>
      <c r="N12">
        <f>SUM(N4:N11)</f>
        <v>300</v>
      </c>
      <c r="P12" s="24">
        <f>P10+R10</f>
        <v>275</v>
      </c>
      <c r="Q12" s="24"/>
    </row>
    <row r="13" spans="1:20" ht="24" x14ac:dyDescent="0.3">
      <c r="H13" s="10">
        <f>H12</f>
        <v>1842.6803571428572</v>
      </c>
      <c r="I13" s="14">
        <f>H12*0.15</f>
        <v>276.40205357142855</v>
      </c>
      <c r="J13" s="14">
        <f>H12+I13</f>
        <v>2119.0824107142857</v>
      </c>
    </row>
    <row r="14" spans="1:20" ht="24" x14ac:dyDescent="0.3">
      <c r="E14">
        <f>80*5</f>
        <v>400</v>
      </c>
      <c r="H14" s="10">
        <f>CEILING(H13,5)</f>
        <v>1845</v>
      </c>
    </row>
    <row r="20" spans="1:17" x14ac:dyDescent="0.2">
      <c r="A20" t="s">
        <v>177</v>
      </c>
      <c r="B20" t="s">
        <v>180</v>
      </c>
      <c r="C20" t="s">
        <v>181</v>
      </c>
      <c r="D20" t="s">
        <v>56</v>
      </c>
      <c r="O20">
        <v>4</v>
      </c>
    </row>
    <row r="21" spans="1:17" x14ac:dyDescent="0.2">
      <c r="A21" t="s">
        <v>178</v>
      </c>
      <c r="B21">
        <v>27</v>
      </c>
      <c r="C21">
        <v>750</v>
      </c>
      <c r="D21" s="26">
        <f>C21*B21</f>
        <v>20250</v>
      </c>
      <c r="F21" s="24">
        <f>D21</f>
        <v>20250</v>
      </c>
      <c r="N21" t="s">
        <v>202</v>
      </c>
      <c r="O21">
        <v>29</v>
      </c>
      <c r="P21" s="24">
        <f>Q10*O21</f>
        <v>6525</v>
      </c>
      <c r="Q21" t="s">
        <v>197</v>
      </c>
    </row>
    <row r="22" spans="1:17" x14ac:dyDescent="0.2">
      <c r="A22" t="s">
        <v>179</v>
      </c>
      <c r="B22">
        <v>29</v>
      </c>
      <c r="C22" s="25">
        <f>H14-C21</f>
        <v>1095</v>
      </c>
      <c r="D22" s="26">
        <f>B22*C22</f>
        <v>31755</v>
      </c>
      <c r="F22" s="25">
        <f>F21-E4</f>
        <v>1765.7499999999964</v>
      </c>
      <c r="P22">
        <v>200</v>
      </c>
      <c r="Q22" t="s">
        <v>196</v>
      </c>
    </row>
    <row r="23" spans="1:17" x14ac:dyDescent="0.2">
      <c r="D23" s="24">
        <f>D22+D21</f>
        <v>52005</v>
      </c>
      <c r="F23" s="25">
        <f>F22-500</f>
        <v>1265.7499999999964</v>
      </c>
      <c r="N23">
        <v>300</v>
      </c>
      <c r="P23">
        <v>150</v>
      </c>
      <c r="Q23" t="s">
        <v>198</v>
      </c>
    </row>
    <row r="24" spans="1:17" x14ac:dyDescent="0.2">
      <c r="D24" s="24">
        <f>D23-E4-E5-E6-E7-E8-E10</f>
        <v>1859.9500000000007</v>
      </c>
      <c r="I24" s="25">
        <f>H12</f>
        <v>1842.6803571428572</v>
      </c>
      <c r="J24">
        <v>1786</v>
      </c>
      <c r="K24">
        <f>I24-J24</f>
        <v>56.680357142857247</v>
      </c>
      <c r="P24">
        <f>P21+P22+P23</f>
        <v>6875</v>
      </c>
    </row>
    <row r="25" spans="1:17" x14ac:dyDescent="0.2">
      <c r="J25">
        <f>1865-75</f>
        <v>1790</v>
      </c>
    </row>
    <row r="28" spans="1:17" x14ac:dyDescent="0.2">
      <c r="A28" t="s">
        <v>54</v>
      </c>
      <c r="B28" t="s">
        <v>168</v>
      </c>
    </row>
    <row r="29" spans="1:17" x14ac:dyDescent="0.2">
      <c r="A29" t="s">
        <v>155</v>
      </c>
      <c r="B29">
        <v>7</v>
      </c>
      <c r="C29">
        <v>379</v>
      </c>
      <c r="D29" s="16">
        <f>B29*C29</f>
        <v>2653</v>
      </c>
    </row>
    <row r="30" spans="1:17" x14ac:dyDescent="0.2">
      <c r="A30" t="s">
        <v>156</v>
      </c>
      <c r="B30">
        <v>2</v>
      </c>
      <c r="C30">
        <v>379</v>
      </c>
      <c r="D30" s="16">
        <f>B30*C30</f>
        <v>758</v>
      </c>
    </row>
    <row r="31" spans="1:17" x14ac:dyDescent="0.2">
      <c r="A31" t="s">
        <v>157</v>
      </c>
      <c r="B31">
        <v>2</v>
      </c>
      <c r="C31">
        <v>339</v>
      </c>
      <c r="D31" s="16">
        <f>B31*C31</f>
        <v>678</v>
      </c>
    </row>
    <row r="32" spans="1:17" x14ac:dyDescent="0.2">
      <c r="A32" t="s">
        <v>56</v>
      </c>
      <c r="D32" s="16">
        <f>SUM(D29:D31)</f>
        <v>4089</v>
      </c>
    </row>
    <row r="33" spans="1:7" x14ac:dyDescent="0.2">
      <c r="D33" s="16">
        <f>D32*5</f>
        <v>20445</v>
      </c>
      <c r="E33">
        <f>D32*7</f>
        <v>28623</v>
      </c>
    </row>
    <row r="34" spans="1:7" x14ac:dyDescent="0.2">
      <c r="A34" t="s">
        <v>174</v>
      </c>
      <c r="D34" s="16">
        <f>D33*0.25</f>
        <v>5111.25</v>
      </c>
    </row>
    <row r="35" spans="1:7" x14ac:dyDescent="0.2">
      <c r="A35" t="s">
        <v>176</v>
      </c>
      <c r="D35" s="16">
        <f>D34</f>
        <v>5111.25</v>
      </c>
    </row>
    <row r="36" spans="1:7" x14ac:dyDescent="0.2">
      <c r="A36" t="s">
        <v>175</v>
      </c>
      <c r="D36" s="16">
        <f>D33-D34-D35</f>
        <v>10222.5</v>
      </c>
    </row>
    <row r="38" spans="1:7" x14ac:dyDescent="0.2">
      <c r="F38">
        <v>650</v>
      </c>
      <c r="G38">
        <f>F38*2</f>
        <v>1300</v>
      </c>
    </row>
  </sheetData>
  <mergeCells count="2">
    <mergeCell ref="O2:T2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C59F-23EC-BB4B-95CB-F662447BCD32}">
  <dimension ref="A1:D34"/>
  <sheetViews>
    <sheetView zoomScale="140" zoomScaleNormal="140" workbookViewId="0">
      <selection activeCell="I27" sqref="I27"/>
    </sheetView>
  </sheetViews>
  <sheetFormatPr baseColWidth="10" defaultRowHeight="16" x14ac:dyDescent="0.2"/>
  <cols>
    <col min="1" max="1" width="16.6640625" bestFit="1" customWidth="1"/>
    <col min="2" max="2" width="12.6640625" style="1" bestFit="1" customWidth="1"/>
    <col min="3" max="3" width="14.6640625" bestFit="1" customWidth="1"/>
    <col min="4" max="4" width="14.1640625" bestFit="1" customWidth="1"/>
  </cols>
  <sheetData>
    <row r="1" spans="1:4" x14ac:dyDescent="0.2">
      <c r="A1" s="39" t="s">
        <v>39</v>
      </c>
      <c r="B1" s="40" t="s">
        <v>210</v>
      </c>
      <c r="C1" s="39" t="s">
        <v>212</v>
      </c>
      <c r="D1" s="39" t="s">
        <v>215</v>
      </c>
    </row>
    <row r="2" spans="1:4" x14ac:dyDescent="0.2">
      <c r="A2" s="41" t="s">
        <v>216</v>
      </c>
      <c r="B2" s="42"/>
      <c r="C2" s="41"/>
      <c r="D2" s="41" t="s">
        <v>17</v>
      </c>
    </row>
    <row r="3" spans="1:4" x14ac:dyDescent="0.2">
      <c r="A3" s="41" t="s">
        <v>217</v>
      </c>
      <c r="B3" s="42"/>
      <c r="C3" s="41"/>
      <c r="D3" s="41" t="s">
        <v>17</v>
      </c>
    </row>
    <row r="4" spans="1:4" x14ac:dyDescent="0.2">
      <c r="A4" s="41" t="s">
        <v>218</v>
      </c>
      <c r="B4" s="42" t="s">
        <v>211</v>
      </c>
      <c r="C4" s="41"/>
      <c r="D4" s="41"/>
    </row>
    <row r="5" spans="1:4" x14ac:dyDescent="0.2">
      <c r="A5" s="41" t="s">
        <v>219</v>
      </c>
      <c r="B5" s="42" t="s">
        <v>211</v>
      </c>
      <c r="C5" s="41"/>
      <c r="D5" s="41"/>
    </row>
    <row r="6" spans="1:4" x14ac:dyDescent="0.2">
      <c r="A6" s="41" t="s">
        <v>220</v>
      </c>
      <c r="B6" s="42" t="s">
        <v>211</v>
      </c>
      <c r="C6" s="41"/>
      <c r="D6" s="41"/>
    </row>
    <row r="7" spans="1:4" x14ac:dyDescent="0.2">
      <c r="A7" s="41" t="s">
        <v>221</v>
      </c>
      <c r="B7" s="42" t="s">
        <v>211</v>
      </c>
      <c r="C7" s="41" t="s">
        <v>47</v>
      </c>
      <c r="D7" s="41"/>
    </row>
    <row r="8" spans="1:4" x14ac:dyDescent="0.2">
      <c r="A8" s="41" t="s">
        <v>204</v>
      </c>
      <c r="B8" s="42"/>
      <c r="C8" s="41"/>
      <c r="D8" s="41" t="s">
        <v>214</v>
      </c>
    </row>
    <row r="9" spans="1:4" x14ac:dyDescent="0.2">
      <c r="A9" s="41" t="s">
        <v>222</v>
      </c>
      <c r="B9" s="42" t="s">
        <v>211</v>
      </c>
      <c r="C9" s="41"/>
      <c r="D9" s="41"/>
    </row>
    <row r="10" spans="1:4" x14ac:dyDescent="0.2">
      <c r="A10" s="41" t="s">
        <v>223</v>
      </c>
      <c r="B10" s="42" t="s">
        <v>211</v>
      </c>
      <c r="C10" s="41"/>
      <c r="D10" s="41"/>
    </row>
    <row r="11" spans="1:4" x14ac:dyDescent="0.2">
      <c r="A11" s="41" t="s">
        <v>224</v>
      </c>
      <c r="B11" s="42" t="s">
        <v>211</v>
      </c>
      <c r="C11" s="41" t="s">
        <v>248</v>
      </c>
      <c r="D11" s="41"/>
    </row>
    <row r="12" spans="1:4" x14ac:dyDescent="0.2">
      <c r="A12" s="41" t="s">
        <v>225</v>
      </c>
      <c r="B12" s="42" t="s">
        <v>211</v>
      </c>
      <c r="C12" s="41"/>
      <c r="D12" s="41"/>
    </row>
    <row r="13" spans="1:4" x14ac:dyDescent="0.2">
      <c r="A13" s="41" t="s">
        <v>205</v>
      </c>
      <c r="B13" s="42" t="s">
        <v>211</v>
      </c>
      <c r="C13" s="41"/>
      <c r="D13" s="41"/>
    </row>
    <row r="14" spans="1:4" x14ac:dyDescent="0.2">
      <c r="A14" s="41" t="s">
        <v>226</v>
      </c>
      <c r="B14" s="42"/>
      <c r="C14" s="41"/>
      <c r="D14" s="41" t="s">
        <v>23</v>
      </c>
    </row>
    <row r="15" spans="1:4" x14ac:dyDescent="0.2">
      <c r="A15" s="41" t="s">
        <v>227</v>
      </c>
      <c r="B15" s="42" t="s">
        <v>211</v>
      </c>
      <c r="C15" s="41"/>
      <c r="D15" s="41"/>
    </row>
    <row r="16" spans="1:4" x14ac:dyDescent="0.2">
      <c r="A16" s="41" t="s">
        <v>228</v>
      </c>
      <c r="B16" s="42" t="s">
        <v>211</v>
      </c>
      <c r="C16" s="41" t="s">
        <v>71</v>
      </c>
      <c r="D16" s="41"/>
    </row>
    <row r="17" spans="1:4" x14ac:dyDescent="0.2">
      <c r="A17" s="41" t="s">
        <v>229</v>
      </c>
      <c r="B17" s="42"/>
      <c r="C17" s="41"/>
      <c r="D17" s="41" t="s">
        <v>84</v>
      </c>
    </row>
    <row r="18" spans="1:4" x14ac:dyDescent="0.2">
      <c r="A18" s="41" t="s">
        <v>230</v>
      </c>
      <c r="B18" s="42"/>
      <c r="C18" s="41"/>
      <c r="D18" s="41" t="s">
        <v>209</v>
      </c>
    </row>
    <row r="19" spans="1:4" x14ac:dyDescent="0.2">
      <c r="A19" s="41" t="s">
        <v>231</v>
      </c>
      <c r="B19" s="42" t="s">
        <v>211</v>
      </c>
      <c r="C19" s="41" t="s">
        <v>246</v>
      </c>
      <c r="D19" s="41"/>
    </row>
    <row r="20" spans="1:4" x14ac:dyDescent="0.2">
      <c r="A20" s="41" t="s">
        <v>232</v>
      </c>
      <c r="B20" s="42" t="s">
        <v>211</v>
      </c>
      <c r="C20" s="41"/>
      <c r="D20" s="41"/>
    </row>
    <row r="21" spans="1:4" x14ac:dyDescent="0.2">
      <c r="A21" s="41" t="s">
        <v>233</v>
      </c>
      <c r="B21" s="42" t="s">
        <v>211</v>
      </c>
      <c r="C21" s="41" t="s">
        <v>213</v>
      </c>
      <c r="D21" s="41"/>
    </row>
    <row r="22" spans="1:4" x14ac:dyDescent="0.2">
      <c r="A22" s="41" t="s">
        <v>206</v>
      </c>
      <c r="B22" s="42" t="s">
        <v>211</v>
      </c>
      <c r="C22" s="41"/>
      <c r="D22" s="41"/>
    </row>
    <row r="23" spans="1:4" x14ac:dyDescent="0.2">
      <c r="A23" s="41" t="s">
        <v>234</v>
      </c>
      <c r="B23" s="42" t="s">
        <v>211</v>
      </c>
      <c r="C23" s="41"/>
      <c r="D23" s="41"/>
    </row>
    <row r="24" spans="1:4" x14ac:dyDescent="0.2">
      <c r="A24" s="41" t="s">
        <v>235</v>
      </c>
      <c r="B24" s="42"/>
      <c r="C24" s="41"/>
      <c r="D24" s="41" t="s">
        <v>249</v>
      </c>
    </row>
    <row r="25" spans="1:4" x14ac:dyDescent="0.2">
      <c r="A25" s="41" t="s">
        <v>236</v>
      </c>
      <c r="B25" s="42"/>
      <c r="C25" s="41"/>
      <c r="D25" s="41" t="s">
        <v>207</v>
      </c>
    </row>
    <row r="26" spans="1:4" x14ac:dyDescent="0.2">
      <c r="A26" s="41" t="s">
        <v>237</v>
      </c>
      <c r="B26" s="42"/>
      <c r="C26" s="41"/>
      <c r="D26" s="41" t="s">
        <v>247</v>
      </c>
    </row>
    <row r="27" spans="1:4" x14ac:dyDescent="0.2">
      <c r="A27" s="41" t="s">
        <v>238</v>
      </c>
      <c r="B27" s="42" t="s">
        <v>211</v>
      </c>
      <c r="C27" s="41"/>
      <c r="D27" s="41"/>
    </row>
    <row r="28" spans="1:4" x14ac:dyDescent="0.2">
      <c r="A28" s="41" t="s">
        <v>239</v>
      </c>
      <c r="B28" s="42" t="s">
        <v>211</v>
      </c>
      <c r="C28" s="41"/>
      <c r="D28" s="41"/>
    </row>
    <row r="29" spans="1:4" x14ac:dyDescent="0.2">
      <c r="A29" s="41" t="s">
        <v>240</v>
      </c>
      <c r="B29" s="42"/>
      <c r="C29" s="41"/>
      <c r="D29" s="41" t="s">
        <v>23</v>
      </c>
    </row>
    <row r="30" spans="1:4" x14ac:dyDescent="0.2">
      <c r="A30" s="41" t="s">
        <v>241</v>
      </c>
      <c r="B30" s="42" t="s">
        <v>211</v>
      </c>
      <c r="C30" s="41"/>
      <c r="D30" s="41"/>
    </row>
    <row r="31" spans="1:4" x14ac:dyDescent="0.2">
      <c r="A31" s="41" t="s">
        <v>242</v>
      </c>
      <c r="B31" s="42"/>
      <c r="C31" s="41"/>
      <c r="D31" s="41" t="s">
        <v>208</v>
      </c>
    </row>
    <row r="32" spans="1:4" x14ac:dyDescent="0.2">
      <c r="A32" s="41" t="s">
        <v>243</v>
      </c>
      <c r="B32" s="42"/>
      <c r="C32" s="41"/>
      <c r="D32" s="41" t="s">
        <v>76</v>
      </c>
    </row>
    <row r="33" spans="1:4" x14ac:dyDescent="0.2">
      <c r="A33" s="41" t="s">
        <v>244</v>
      </c>
      <c r="B33" s="42" t="s">
        <v>211</v>
      </c>
      <c r="C33" s="41" t="s">
        <v>166</v>
      </c>
      <c r="D33" s="41"/>
    </row>
    <row r="34" spans="1:4" x14ac:dyDescent="0.2">
      <c r="A34" s="41" t="s">
        <v>245</v>
      </c>
      <c r="B34" s="42"/>
      <c r="C34" s="41"/>
      <c r="D34" s="41" t="s">
        <v>249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0C28-5CA2-FB41-9FB9-8E6584A1807B}">
  <dimension ref="A1:B34"/>
  <sheetViews>
    <sheetView workbookViewId="0">
      <selection activeCell="E39" sqref="E39"/>
    </sheetView>
  </sheetViews>
  <sheetFormatPr baseColWidth="10" defaultRowHeight="16" x14ac:dyDescent="0.2"/>
  <cols>
    <col min="1" max="1" width="16.6640625" bestFit="1" customWidth="1"/>
    <col min="2" max="2" width="15.6640625" style="11" bestFit="1" customWidth="1"/>
  </cols>
  <sheetData>
    <row r="1" spans="1:2" x14ac:dyDescent="0.2">
      <c r="A1" s="45" t="str" cm="1">
        <f t="array" ref="A1:A34">Table1[[#Headers],[#Data],[Full Name]]</f>
        <v>Full Name</v>
      </c>
      <c r="B1" s="46" t="str" cm="1">
        <f t="array" ref="B1:B34">Table1[[#Headers],[#Data],[Reservation Code]]</f>
        <v>Reservation Code</v>
      </c>
    </row>
    <row r="2" spans="1:2" x14ac:dyDescent="0.2">
      <c r="A2" t="str">
        <v>Albino, Luke</v>
      </c>
      <c r="B2" s="11" t="str">
        <v>VZGYQB</v>
      </c>
    </row>
    <row r="3" spans="1:2" x14ac:dyDescent="0.2">
      <c r="A3" t="str">
        <v>Baldelli , Nick</v>
      </c>
      <c r="B3" s="11" t="str">
        <v>VZGYQB</v>
      </c>
    </row>
    <row r="4" spans="1:2" x14ac:dyDescent="0.2">
      <c r="A4" t="str">
        <v>Brugnolo , Gabe</v>
      </c>
      <c r="B4" s="11" t="str">
        <v>ABGM5E</v>
      </c>
    </row>
    <row r="5" spans="1:2" x14ac:dyDescent="0.2">
      <c r="A5" t="str">
        <v>Cascone, Chase</v>
      </c>
      <c r="B5" s="11" t="str">
        <v>ABGM5E</v>
      </c>
    </row>
    <row r="6" spans="1:2" x14ac:dyDescent="0.2">
      <c r="A6" t="str">
        <v>Cohelho, Owen</v>
      </c>
      <c r="B6" s="11" t="str">
        <v>DN3365</v>
      </c>
    </row>
    <row r="7" spans="1:2" x14ac:dyDescent="0.2">
      <c r="A7" t="str">
        <v>Daukus, Andrew</v>
      </c>
      <c r="B7" s="11" t="str">
        <v>ABGM5E</v>
      </c>
    </row>
    <row r="8" spans="1:2" x14ac:dyDescent="0.2">
      <c r="A8" t="str">
        <v>DiGiuseppe, Jack</v>
      </c>
      <c r="B8" s="11" t="str">
        <v>DN3365</v>
      </c>
    </row>
    <row r="9" spans="1:2" x14ac:dyDescent="0.2">
      <c r="A9" t="str">
        <v>Evans , Parker</v>
      </c>
      <c r="B9" s="11" t="str">
        <v>VZGYQB</v>
      </c>
    </row>
    <row r="10" spans="1:2" x14ac:dyDescent="0.2">
      <c r="A10" t="str">
        <v>Famiglietti , Declan</v>
      </c>
      <c r="B10" s="11" t="str">
        <v>ABGM5E</v>
      </c>
    </row>
    <row r="11" spans="1:2" x14ac:dyDescent="0.2">
      <c r="A11" t="str">
        <v>Flanagan , Cian</v>
      </c>
      <c r="B11" s="11" t="str">
        <v>ABGM5E</v>
      </c>
    </row>
    <row r="12" spans="1:2" x14ac:dyDescent="0.2">
      <c r="A12" t="str">
        <v>Ghrewati, Zain</v>
      </c>
      <c r="B12" s="11" t="str">
        <v>VZGYQB</v>
      </c>
    </row>
    <row r="13" spans="1:2" x14ac:dyDescent="0.2">
      <c r="A13" t="str">
        <v>Hedge , Curran</v>
      </c>
      <c r="B13" s="11" t="str">
        <v>NX3T9L</v>
      </c>
    </row>
    <row r="14" spans="1:2" x14ac:dyDescent="0.2">
      <c r="A14" t="str">
        <v>Hussain, Zahaan</v>
      </c>
      <c r="B14" s="11" t="str">
        <v>VZGYQB</v>
      </c>
    </row>
    <row r="15" spans="1:2" x14ac:dyDescent="0.2">
      <c r="A15" t="str">
        <v>Keane , Jackson</v>
      </c>
      <c r="B15" s="11" t="str">
        <v>ABGM5E</v>
      </c>
    </row>
    <row r="16" spans="1:2" x14ac:dyDescent="0.2">
      <c r="A16" t="str">
        <v>Keane, Hunter</v>
      </c>
      <c r="B16" s="11" t="str">
        <v>ABGM5E</v>
      </c>
    </row>
    <row r="17" spans="1:2" x14ac:dyDescent="0.2">
      <c r="A17" t="str">
        <v>Martin, Thomas</v>
      </c>
      <c r="B17" s="11" t="str">
        <v>DN3365</v>
      </c>
    </row>
    <row r="18" spans="1:2" x14ac:dyDescent="0.2">
      <c r="A18" t="str">
        <v>Merritt, Logan</v>
      </c>
      <c r="B18" s="11" t="str">
        <v>ABGM5E</v>
      </c>
    </row>
    <row r="19" spans="1:2" hidden="1" x14ac:dyDescent="0.2">
      <c r="A19" t="str">
        <v>Pentino , Payton</v>
      </c>
      <c r="B19" s="11" t="str">
        <v>DN3365</v>
      </c>
    </row>
    <row r="20" spans="1:2" x14ac:dyDescent="0.2">
      <c r="A20" t="str">
        <v>Piccirillo, RJ</v>
      </c>
      <c r="B20" s="11" t="str">
        <v>ABGM5E</v>
      </c>
    </row>
    <row r="21" spans="1:2" x14ac:dyDescent="0.2">
      <c r="A21" t="str">
        <v>Rodgers, Will</v>
      </c>
      <c r="B21" s="11" t="str">
        <v>VZGYQB</v>
      </c>
    </row>
    <row r="22" spans="1:2" x14ac:dyDescent="0.2">
      <c r="A22" t="str">
        <v>Scacco, Donald</v>
      </c>
      <c r="B22" s="11" t="str">
        <v>GAZE48</v>
      </c>
    </row>
    <row r="23" spans="1:2" x14ac:dyDescent="0.2">
      <c r="A23" t="str">
        <v>Silva, Chris</v>
      </c>
      <c r="B23" s="11" t="str">
        <v>VZGYQB</v>
      </c>
    </row>
    <row r="24" spans="1:2" x14ac:dyDescent="0.2">
      <c r="A24" t="str">
        <v>Silva, Tyler</v>
      </c>
      <c r="B24" s="11" t="str">
        <v>DN3365</v>
      </c>
    </row>
    <row r="25" spans="1:2" x14ac:dyDescent="0.2">
      <c r="A25" t="str">
        <v>Timaul, Ansh</v>
      </c>
      <c r="B25" s="11" t="str">
        <v>DN3365</v>
      </c>
    </row>
    <row r="26" spans="1:2" x14ac:dyDescent="0.2">
      <c r="A26" t="str">
        <v>Tran, Marc</v>
      </c>
      <c r="B26" s="11" t="str">
        <v>VZGYQB</v>
      </c>
    </row>
    <row r="27" spans="1:2" x14ac:dyDescent="0.2">
      <c r="A27" t="str">
        <v>Weitekamp, Kevin</v>
      </c>
      <c r="B27" s="11" t="str">
        <v>DN3365</v>
      </c>
    </row>
    <row r="28" spans="1:2" x14ac:dyDescent="0.2">
      <c r="A28" t="str">
        <v>Welch, Aiden</v>
      </c>
      <c r="B28" s="11" t="str">
        <v>VZGYQB</v>
      </c>
    </row>
    <row r="29" spans="1:2" x14ac:dyDescent="0.2">
      <c r="A29" t="str">
        <v>Welch, Dylan</v>
      </c>
      <c r="B29" s="11" t="str">
        <v>DN3365</v>
      </c>
    </row>
    <row r="30" spans="1:2" x14ac:dyDescent="0.2">
      <c r="A30" t="str">
        <v>White, Peter</v>
      </c>
      <c r="B30" s="11" t="str">
        <v>DN3365</v>
      </c>
    </row>
    <row r="31" spans="1:2" x14ac:dyDescent="0.2">
      <c r="A31" t="str">
        <v>Albino, James</v>
      </c>
      <c r="B31" s="11" t="str">
        <v>VZGYQB</v>
      </c>
    </row>
    <row r="32" spans="1:2" x14ac:dyDescent="0.2">
      <c r="A32" t="str">
        <v>Cook, Cameron</v>
      </c>
      <c r="B32" s="11" t="str">
        <v>GAZE48</v>
      </c>
    </row>
    <row r="33" spans="1:2" x14ac:dyDescent="0.2">
      <c r="A33" t="str">
        <v>Famiglietti , Mike</v>
      </c>
      <c r="B33" s="11" t="str">
        <v>ABGM5E</v>
      </c>
    </row>
    <row r="34" spans="1:2" x14ac:dyDescent="0.2">
      <c r="A34" t="str">
        <v>Pentino , Francis</v>
      </c>
      <c r="B34" s="11" t="str">
        <v>DN3365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2026</vt:lpstr>
      <vt:lpstr>Budget</vt:lpstr>
      <vt:lpstr>Carpool</vt:lpstr>
      <vt:lpstr>Airline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</dc:creator>
  <cp:lastModifiedBy>Brian K</cp:lastModifiedBy>
  <dcterms:created xsi:type="dcterms:W3CDTF">2025-10-17T19:22:26Z</dcterms:created>
  <dcterms:modified xsi:type="dcterms:W3CDTF">2026-02-07T15:06:40Z</dcterms:modified>
</cp:coreProperties>
</file>